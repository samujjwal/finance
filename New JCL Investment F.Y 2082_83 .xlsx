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omments2.xml" ContentType="application/vnd.openxmlformats-officedocument.spreadsheetml.comments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3.xml" ContentType="application/vnd.openxmlformats-officedocument.spreadsheetml.comments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omments4.xml" ContentType="application/vnd.openxmlformats-officedocument.spreadsheetml.comments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omments5.xml" ContentType="application/vnd.openxmlformats-officedocument.spreadsheetml.comments+xml"/>
  <Override PartName="/xl/tables/table39.xml" ContentType="application/vnd.openxmlformats-officedocument.spreadsheetml.table+xml"/>
  <Override PartName="/xl/comments6.xml" ContentType="application/vnd.openxmlformats-officedocument.spreadsheetml.comments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Investment\Ashoj 7 update\"/>
    </mc:Choice>
  </mc:AlternateContent>
  <xr:revisionPtr revIDLastSave="0" documentId="13_ncr:1_{FA2557E4-93D4-401D-825A-65CB5CDA63DD}" xr6:coauthVersionLast="47" xr6:coauthVersionMax="47" xr10:uidLastSave="{00000000-0000-0000-0000-000000000000}"/>
  <bookViews>
    <workbookView xWindow="-120" yWindow="-120" windowWidth="24240" windowHeight="13140" firstSheet="2" activeTab="13" xr2:uid="{00000000-000D-0000-FFFF-FFFF00000000}"/>
  </bookViews>
  <sheets>
    <sheet name="LISTED COMPANIES" sheetId="37" r:id="rId1"/>
    <sheet name="VALIDATION" sheetId="2" r:id="rId2"/>
    <sheet name="Monthly Summary" sheetId="33" r:id="rId3"/>
    <sheet name="SGIC" sheetId="38" r:id="rId4"/>
    <sheet name="SHL" sheetId="32" r:id="rId5"/>
    <sheet name="MNBBL" sheetId="31" r:id="rId6"/>
    <sheet name="KSBBL" sheetId="30" r:id="rId7"/>
    <sheet name="IGI" sheetId="29" r:id="rId8"/>
    <sheet name="SRLI" sheetId="28" r:id="rId9"/>
    <sheet name="SALICO" sheetId="52" r:id="rId10"/>
    <sheet name="KPCL" sheetId="53" r:id="rId11"/>
    <sheet name="SHLB" sheetId="54" r:id="rId12"/>
    <sheet name="SIBBL" sheetId="55" r:id="rId13"/>
    <sheet name="VLUCL" sheetId="56" r:id="rId14"/>
    <sheet name="UPCL" sheetId="57" r:id="rId15"/>
    <sheet name="USLB" sheetId="69" r:id="rId16"/>
    <sheet name="NHDL" sheetId="68" r:id="rId17"/>
    <sheet name="GILB" sheetId="66" r:id="rId18"/>
    <sheet name="NMFBS" sheetId="58" r:id="rId19"/>
    <sheet name="SMPDA" sheetId="59" r:id="rId20"/>
    <sheet name="SHPC" sheetId="27" r:id="rId21"/>
    <sheet name="SPIL" sheetId="26" r:id="rId22"/>
    <sheet name="TAMOR" sheetId="63" r:id="rId23"/>
    <sheet name="SNLI" sheetId="62" r:id="rId24"/>
    <sheet name="MANDU" sheetId="61" r:id="rId25"/>
    <sheet name="KMCDB" sheetId="25" r:id="rId26"/>
    <sheet name="HEI" sheetId="24" r:id="rId27"/>
    <sheet name="CHDC" sheetId="23" r:id="rId28"/>
    <sheet name="TRH" sheetId="65" r:id="rId29"/>
    <sheet name="RSDC" sheetId="64" r:id="rId30"/>
    <sheet name="ILI" sheetId="15" r:id="rId31"/>
    <sheet name="UAIL" sheetId="14" r:id="rId32"/>
    <sheet name="HATHY" sheetId="1" r:id="rId33"/>
    <sheet name="FMDBL" sheetId="3" r:id="rId34"/>
    <sheet name="HIDCL" sheetId="4" r:id="rId35"/>
    <sheet name="MSLB" sheetId="5" r:id="rId36"/>
    <sheet name="HLI" sheetId="6" r:id="rId37"/>
    <sheet name="HRL" sheetId="7" r:id="rId38"/>
    <sheet name="SMHL" sheetId="9" r:id="rId39"/>
    <sheet name="SBI" sheetId="10" r:id="rId40"/>
    <sheet name="CLI" sheetId="11" r:id="rId41"/>
    <sheet name="ICFC" sheetId="12" r:id="rId42"/>
    <sheet name="LICN" sheetId="13" r:id="rId43"/>
    <sheet name="LBBL" sheetId="16" r:id="rId44"/>
    <sheet name="SJCL" sheetId="17" r:id="rId45"/>
    <sheet name="AHPC" sheetId="18" r:id="rId46"/>
    <sheet name="TVCL" sheetId="51" r:id="rId47"/>
    <sheet name="MFIL" sheetId="19" r:id="rId48"/>
    <sheet name="NLG" sheetId="20" r:id="rId49"/>
    <sheet name="NICL" sheetId="21" r:id="rId50"/>
    <sheet name="SMJC" sheetId="22" r:id="rId51"/>
    <sheet name="NMLBBL" sheetId="35" r:id="rId52"/>
    <sheet name="DDBL" sheetId="34" r:id="rId53"/>
    <sheet name="SCB" sheetId="36" r:id="rId54"/>
    <sheet name="GWFD83" sheetId="39" r:id="rId55"/>
    <sheet name="CCBD88" sheetId="40" r:id="rId56"/>
    <sheet name="CBLD88" sheetId="41" r:id="rId57"/>
    <sheet name="PBD88" sheetId="42" r:id="rId58"/>
    <sheet name="GBILD86_87" sheetId="43" r:id="rId59"/>
    <sheet name="NMBD87_88" sheetId="44" r:id="rId60"/>
    <sheet name="SBLD84" sheetId="45" r:id="rId61"/>
    <sheet name="NIBD84" sheetId="46" r:id="rId62"/>
    <sheet name="KEF" sheetId="47" r:id="rId63"/>
    <sheet name="SFMF" sheetId="48" r:id="rId64"/>
    <sheet name="NICFC" sheetId="49" r:id="rId65"/>
    <sheet name="H8020" sheetId="50" r:id="rId66"/>
  </sheets>
  <definedNames>
    <definedName name="Categories">#REF!</definedName>
    <definedName name="Fiscalyear">#REF!</definedName>
    <definedName name="Investment_Purpose">#REF!</definedName>
    <definedName name="_xlnm.Print_Area" localSheetId="45">AHPC!$A$1:$AD$124</definedName>
    <definedName name="_xlnm.Print_Area" localSheetId="56">CBLD88!$A$1:$AD$17</definedName>
    <definedName name="_xlnm.Print_Area" localSheetId="55">CCBD88!$A$1:$AD$17</definedName>
    <definedName name="_xlnm.Print_Area" localSheetId="52">DDBL!$A$1:$Y$17</definedName>
    <definedName name="_xlnm.Print_Area" localSheetId="33">FMDBL!$A$1:$AH$74</definedName>
    <definedName name="_xlnm.Print_Area" localSheetId="58">GBILD86_87!$A$1:$AD$17</definedName>
    <definedName name="_xlnm.Print_Area" localSheetId="54">GWFD83!$A$1:$AD$17</definedName>
    <definedName name="_xlnm.Print_Area" localSheetId="65">'H8020'!$A$1:$AD$17</definedName>
    <definedName name="_xlnm.Print_Area" localSheetId="34">HIDCL!$A$1:$AE$61</definedName>
    <definedName name="_xlnm.Print_Area" localSheetId="36">HLI!$A$1:$AD$73</definedName>
    <definedName name="_xlnm.Print_Area" localSheetId="37">HRL!$A$1:$Y$9</definedName>
    <definedName name="_xlnm.Print_Area" localSheetId="41">ICFC!$A$1:$AD$106</definedName>
    <definedName name="_xlnm.Print_Area" localSheetId="62">KEF!$A$1:$AD$17</definedName>
    <definedName name="_xlnm.Print_Area" localSheetId="43">LBBL!$A$1:$AD$88</definedName>
    <definedName name="_xlnm.Print_Area" localSheetId="47">MFIL!$A$1:$AD$64</definedName>
    <definedName name="_xlnm.Print_Area" localSheetId="2">'Monthly Summary'!$A$1:$Y$51</definedName>
    <definedName name="_xlnm.Print_Area" localSheetId="35">MSLB!$A$1:$Y$18</definedName>
    <definedName name="_xlnm.Print_Area" localSheetId="61">NIBD84!$A$1:$AD$17</definedName>
    <definedName name="_xlnm.Print_Area" localSheetId="64">NICFC!$A$1:$AD$17</definedName>
    <definedName name="_xlnm.Print_Area" localSheetId="49">NICL!$A$1:$AE$114</definedName>
    <definedName name="_xlnm.Print_Area" localSheetId="48">NLG!$A$1:$Y$16</definedName>
    <definedName name="_xlnm.Print_Area" localSheetId="59">NMBD87_88!$A$1:$AD$17</definedName>
    <definedName name="_xlnm.Print_Area" localSheetId="51">NMLBBL!$A$1:$AD$72</definedName>
    <definedName name="_xlnm.Print_Area" localSheetId="57">'PBD88'!$A$1:$AD$17</definedName>
    <definedName name="_xlnm.Print_Area" localSheetId="39">SBI!$A$1:$Y$17</definedName>
    <definedName name="_xlnm.Print_Area" localSheetId="60">SBLD84!$A$1:$AD$17</definedName>
    <definedName name="_xlnm.Print_Area" localSheetId="53">SCB!$A$1:$Y$17</definedName>
    <definedName name="_xlnm.Print_Area" localSheetId="63">SFMF!$A$1:$AD$17</definedName>
    <definedName name="_xlnm.Print_Area" localSheetId="3">SGIC!$A$4:$AD$11</definedName>
    <definedName name="_xlnm.Print_Area" localSheetId="4">SHL!$A$4:$AD$11</definedName>
    <definedName name="_xlnm.Print_Area" localSheetId="20">SHPC!$A$1:$AD$115</definedName>
    <definedName name="_xlnm.Print_Area" localSheetId="38">SMHL!$A$1:$Y$12</definedName>
    <definedName name="_xlnm.Print_Area" localSheetId="50">SMJC!$A$1:$Y$14</definedName>
    <definedName name="_xlnm.Print_Area" localSheetId="46">TVCL!$A$1:$AD$17</definedName>
    <definedName name="_xlnm.Print_Area" localSheetId="31">UAIL!$A$1:$Y$17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2" i="28" l="1"/>
  <c r="AB22" i="28"/>
  <c r="AC22" i="28" s="1"/>
  <c r="AA22" i="28"/>
  <c r="Z22" i="28"/>
  <c r="Y22" i="28"/>
  <c r="X22" i="28"/>
  <c r="W22" i="28"/>
  <c r="V22" i="28"/>
  <c r="U22" i="28"/>
  <c r="T22" i="28"/>
  <c r="S22" i="28"/>
  <c r="R22" i="28"/>
  <c r="P22" i="28"/>
  <c r="J22" i="28"/>
  <c r="H22" i="28"/>
  <c r="M22" i="28" s="1"/>
  <c r="F22" i="28"/>
  <c r="AD21" i="29"/>
  <c r="AA21" i="29"/>
  <c r="Z21" i="29"/>
  <c r="Y21" i="29"/>
  <c r="X21" i="29"/>
  <c r="W21" i="29"/>
  <c r="V21" i="29"/>
  <c r="U21" i="29"/>
  <c r="AB21" i="29" s="1"/>
  <c r="AC21" i="29" s="1"/>
  <c r="T21" i="29"/>
  <c r="S21" i="29"/>
  <c r="R21" i="29"/>
  <c r="P21" i="29"/>
  <c r="J21" i="29"/>
  <c r="H21" i="29"/>
  <c r="M21" i="29" s="1"/>
  <c r="F21" i="29"/>
  <c r="AD21" i="30"/>
  <c r="AA21" i="30"/>
  <c r="Z21" i="30"/>
  <c r="Y21" i="30"/>
  <c r="X21" i="30"/>
  <c r="W21" i="30"/>
  <c r="V21" i="30"/>
  <c r="U21" i="30"/>
  <c r="AB21" i="30" s="1"/>
  <c r="AC21" i="30" s="1"/>
  <c r="T21" i="30"/>
  <c r="S21" i="30"/>
  <c r="R21" i="30"/>
  <c r="P21" i="30"/>
  <c r="J21" i="30"/>
  <c r="H21" i="30"/>
  <c r="M21" i="30" s="1"/>
  <c r="F21" i="30"/>
  <c r="S18" i="31"/>
  <c r="AD18" i="31"/>
  <c r="AA18" i="31"/>
  <c r="Z18" i="31"/>
  <c r="Y18" i="31"/>
  <c r="X18" i="31"/>
  <c r="W18" i="31"/>
  <c r="V18" i="31"/>
  <c r="U18" i="31"/>
  <c r="AB18" i="31" s="1"/>
  <c r="AC18" i="31" s="1"/>
  <c r="T18" i="31"/>
  <c r="R18" i="31"/>
  <c r="P18" i="31"/>
  <c r="M18" i="31"/>
  <c r="J18" i="31"/>
  <c r="H18" i="31"/>
  <c r="F18" i="31"/>
  <c r="U17" i="32"/>
  <c r="AB17" i="32" s="1"/>
  <c r="AC17" i="32" s="1"/>
  <c r="T17" i="32"/>
  <c r="S17" i="32"/>
  <c r="R17" i="32"/>
  <c r="H17" i="32"/>
  <c r="M17" i="32" s="1"/>
  <c r="F17" i="32"/>
  <c r="AD17" i="32"/>
  <c r="AA17" i="32"/>
  <c r="Z17" i="32"/>
  <c r="Y17" i="32"/>
  <c r="X17" i="32"/>
  <c r="W17" i="32"/>
  <c r="V17" i="32"/>
  <c r="P17" i="32"/>
  <c r="J17" i="32"/>
  <c r="AD16" i="38"/>
  <c r="AC16" i="38"/>
  <c r="AB16" i="38"/>
  <c r="AA16" i="38"/>
  <c r="Z16" i="38"/>
  <c r="Y16" i="38"/>
  <c r="X16" i="38"/>
  <c r="W16" i="38"/>
  <c r="V16" i="38"/>
  <c r="U16" i="38"/>
  <c r="P16" i="38"/>
  <c r="M16" i="38"/>
  <c r="J16" i="38"/>
  <c r="H16" i="38"/>
  <c r="F16" i="38"/>
  <c r="T16" i="38"/>
  <c r="S16" i="38"/>
  <c r="R16" i="38"/>
  <c r="AA5" i="59"/>
  <c r="AB5" i="59" s="1"/>
  <c r="X5" i="59"/>
  <c r="Z5" i="59" s="1"/>
  <c r="AD5" i="59" s="1"/>
  <c r="V5" i="59"/>
  <c r="G10" i="27"/>
  <c r="K10" i="27"/>
  <c r="O10" i="27"/>
  <c r="P5" i="59"/>
  <c r="N5" i="59"/>
  <c r="L5" i="59"/>
  <c r="M5" i="59" s="1"/>
  <c r="O5" i="59" s="1"/>
  <c r="J5" i="59"/>
  <c r="R5" i="56"/>
  <c r="T5" i="56" s="1"/>
  <c r="U5" i="56" s="1"/>
  <c r="AB5" i="56" s="1"/>
  <c r="R4" i="69"/>
  <c r="T4" i="69" s="1"/>
  <c r="U4" i="69" s="1"/>
  <c r="AA4" i="69"/>
  <c r="X4" i="69"/>
  <c r="Z4" i="69" s="1"/>
  <c r="AD4" i="69" s="1"/>
  <c r="N4" i="69"/>
  <c r="M4" i="69"/>
  <c r="G4" i="69"/>
  <c r="AB3" i="69"/>
  <c r="T3" i="69"/>
  <c r="R4" i="68"/>
  <c r="AA4" i="68"/>
  <c r="X4" i="68"/>
  <c r="Z4" i="68" s="1"/>
  <c r="AD4" i="68" s="1"/>
  <c r="T4" i="68"/>
  <c r="U4" i="68" s="1"/>
  <c r="N4" i="68"/>
  <c r="M4" i="68"/>
  <c r="G4" i="68"/>
  <c r="AB3" i="68"/>
  <c r="T3" i="68"/>
  <c r="M5" i="62"/>
  <c r="R4" i="66"/>
  <c r="T4" i="66" s="1"/>
  <c r="U4" i="66" s="1"/>
  <c r="Z5" i="66"/>
  <c r="X5" i="66"/>
  <c r="T5" i="66"/>
  <c r="U5" i="66" s="1"/>
  <c r="G5" i="66"/>
  <c r="AA4" i="66"/>
  <c r="X4" i="66"/>
  <c r="Z4" i="66" s="1"/>
  <c r="AD4" i="66" s="1"/>
  <c r="N4" i="66"/>
  <c r="N5" i="66" s="1"/>
  <c r="M4" i="66"/>
  <c r="G4" i="66"/>
  <c r="AB3" i="66"/>
  <c r="T3" i="66"/>
  <c r="R5" i="57"/>
  <c r="G5" i="57"/>
  <c r="R16" i="32"/>
  <c r="N16" i="32"/>
  <c r="O16" i="32"/>
  <c r="M16" i="32"/>
  <c r="G16" i="32"/>
  <c r="AA16" i="32"/>
  <c r="X16" i="32"/>
  <c r="Z16" i="32" s="1"/>
  <c r="AD16" i="32" s="1"/>
  <c r="T16" i="32"/>
  <c r="U16" i="32" s="1"/>
  <c r="AB16" i="32" s="1"/>
  <c r="A16" i="32"/>
  <c r="R4" i="65"/>
  <c r="AA4" i="65"/>
  <c r="X4" i="65"/>
  <c r="Z4" i="65" s="1"/>
  <c r="AD4" i="65" s="1"/>
  <c r="T4" i="65"/>
  <c r="U4" i="65" s="1"/>
  <c r="N4" i="65"/>
  <c r="M4" i="65"/>
  <c r="O4" i="65" s="1"/>
  <c r="G4" i="65"/>
  <c r="AB3" i="65"/>
  <c r="T3" i="65"/>
  <c r="R4" i="64"/>
  <c r="T4" i="64" s="1"/>
  <c r="U4" i="64" s="1"/>
  <c r="AA4" i="64"/>
  <c r="Z4" i="64"/>
  <c r="AD4" i="64" s="1"/>
  <c r="X4" i="64"/>
  <c r="N4" i="64"/>
  <c r="M4" i="64"/>
  <c r="O4" i="64" s="1"/>
  <c r="G4" i="64"/>
  <c r="AB3" i="64"/>
  <c r="T3" i="64"/>
  <c r="AB5" i="63"/>
  <c r="AB4" i="63"/>
  <c r="R4" i="63"/>
  <c r="N6" i="63"/>
  <c r="N5" i="63"/>
  <c r="N4" i="63"/>
  <c r="M6" i="63"/>
  <c r="M5" i="63"/>
  <c r="M4" i="63"/>
  <c r="AA4" i="63"/>
  <c r="X4" i="63"/>
  <c r="Z4" i="63" s="1"/>
  <c r="AD4" i="63" s="1"/>
  <c r="T4" i="63"/>
  <c r="U4" i="63" s="1"/>
  <c r="G4" i="63"/>
  <c r="R17" i="23"/>
  <c r="O17" i="23"/>
  <c r="N17" i="23"/>
  <c r="M17" i="23"/>
  <c r="G17" i="23"/>
  <c r="AA17" i="23"/>
  <c r="X17" i="23"/>
  <c r="T17" i="23"/>
  <c r="U17" i="23" s="1"/>
  <c r="AB17" i="23" s="1"/>
  <c r="Z17" i="23"/>
  <c r="AD17" i="23" s="1"/>
  <c r="R17" i="31"/>
  <c r="O17" i="31"/>
  <c r="N17" i="31"/>
  <c r="M17" i="31"/>
  <c r="G17" i="31"/>
  <c r="AA17" i="31"/>
  <c r="Z17" i="31"/>
  <c r="AD17" i="31" s="1"/>
  <c r="X17" i="31"/>
  <c r="T17" i="31"/>
  <c r="U17" i="31" s="1"/>
  <c r="AB17" i="31" s="1"/>
  <c r="J17" i="31"/>
  <c r="AA6" i="63"/>
  <c r="X6" i="63"/>
  <c r="Z6" i="63" s="1"/>
  <c r="R6" i="63"/>
  <c r="T6" i="63" s="1"/>
  <c r="U6" i="63" s="1"/>
  <c r="O6" i="63"/>
  <c r="G6" i="63"/>
  <c r="AA5" i="63"/>
  <c r="X5" i="63"/>
  <c r="Z5" i="63" s="1"/>
  <c r="AD5" i="63" s="1"/>
  <c r="R5" i="63"/>
  <c r="T5" i="63" s="1"/>
  <c r="U5" i="63" s="1"/>
  <c r="G5" i="63"/>
  <c r="AB3" i="63"/>
  <c r="T3" i="63"/>
  <c r="AB5" i="62"/>
  <c r="R4" i="62"/>
  <c r="T4" i="62" s="1"/>
  <c r="U4" i="62" s="1"/>
  <c r="AA4" i="62"/>
  <c r="X4" i="62"/>
  <c r="Z4" i="62" s="1"/>
  <c r="AD4" i="62" s="1"/>
  <c r="N4" i="62"/>
  <c r="M4" i="62"/>
  <c r="O4" i="62" s="1"/>
  <c r="G4" i="62"/>
  <c r="G5" i="62"/>
  <c r="N5" i="62"/>
  <c r="R5" i="62"/>
  <c r="T5" i="62" s="1"/>
  <c r="U5" i="62" s="1"/>
  <c r="X5" i="62"/>
  <c r="Z5" i="62" s="1"/>
  <c r="AD5" i="62" s="1"/>
  <c r="AA5" i="62"/>
  <c r="AB3" i="62"/>
  <c r="T3" i="62"/>
  <c r="R20" i="1"/>
  <c r="T20" i="1" s="1"/>
  <c r="U20" i="1" s="1"/>
  <c r="AB20" i="1" s="1"/>
  <c r="AD20" i="1"/>
  <c r="N20" i="1"/>
  <c r="M20" i="1"/>
  <c r="G20" i="1"/>
  <c r="R4" i="61"/>
  <c r="T4" i="61" s="1"/>
  <c r="U4" i="61" s="1"/>
  <c r="AA4" i="61"/>
  <c r="X4" i="61"/>
  <c r="Z4" i="61" s="1"/>
  <c r="AD4" i="61" s="1"/>
  <c r="N4" i="61"/>
  <c r="M4" i="61"/>
  <c r="O4" i="61" s="1"/>
  <c r="G4" i="61"/>
  <c r="AB3" i="61"/>
  <c r="T3" i="61"/>
  <c r="R16" i="7"/>
  <c r="T16" i="7" s="1"/>
  <c r="U16" i="7" s="1"/>
  <c r="AB16" i="7" s="1"/>
  <c r="AC16" i="7" s="1"/>
  <c r="M15" i="7"/>
  <c r="M16" i="7" s="1"/>
  <c r="O16" i="7" s="1"/>
  <c r="AD16" i="7"/>
  <c r="N16" i="7"/>
  <c r="G16" i="7"/>
  <c r="R15" i="4"/>
  <c r="T15" i="4" s="1"/>
  <c r="U15" i="4" s="1"/>
  <c r="AB15" i="4" s="1"/>
  <c r="AD15" i="4"/>
  <c r="N15" i="4"/>
  <c r="M15" i="4"/>
  <c r="G15" i="4"/>
  <c r="R19" i="1"/>
  <c r="T19" i="1" s="1"/>
  <c r="U19" i="1" s="1"/>
  <c r="O19" i="1"/>
  <c r="N19" i="1"/>
  <c r="M19" i="1"/>
  <c r="G19" i="1"/>
  <c r="AA4" i="59"/>
  <c r="X4" i="59"/>
  <c r="Z4" i="59" s="1"/>
  <c r="AD4" i="59" s="1"/>
  <c r="T4" i="59"/>
  <c r="U4" i="59" s="1"/>
  <c r="AB4" i="59" s="1"/>
  <c r="R4" i="59"/>
  <c r="N4" i="59"/>
  <c r="M4" i="59"/>
  <c r="G4" i="59"/>
  <c r="AB3" i="59"/>
  <c r="U3" i="59" s="1"/>
  <c r="T3" i="59"/>
  <c r="R5" i="58"/>
  <c r="R4" i="58"/>
  <c r="X5" i="58"/>
  <c r="Z5" i="58" s="1"/>
  <c r="T5" i="58"/>
  <c r="U5" i="58" s="1"/>
  <c r="G5" i="58"/>
  <c r="AA4" i="58"/>
  <c r="X4" i="58"/>
  <c r="Z4" i="58" s="1"/>
  <c r="AD4" i="58" s="1"/>
  <c r="T4" i="58"/>
  <c r="U4" i="58" s="1"/>
  <c r="N4" i="58"/>
  <c r="N5" i="58" s="1"/>
  <c r="M4" i="58"/>
  <c r="M5" i="58" s="1"/>
  <c r="G4" i="58"/>
  <c r="AB3" i="58"/>
  <c r="AB4" i="58" s="1"/>
  <c r="T3" i="58"/>
  <c r="X5" i="57"/>
  <c r="Z5" i="57" s="1"/>
  <c r="T5" i="57"/>
  <c r="U5" i="57" s="1"/>
  <c r="AA4" i="57"/>
  <c r="X4" i="57"/>
  <c r="Z4" i="57" s="1"/>
  <c r="AD4" i="57" s="1"/>
  <c r="R4" i="57"/>
  <c r="T4" i="57" s="1"/>
  <c r="U4" i="57" s="1"/>
  <c r="N4" i="57"/>
  <c r="M4" i="57"/>
  <c r="M5" i="57" s="1"/>
  <c r="G4" i="57"/>
  <c r="AB3" i="57"/>
  <c r="T3" i="57"/>
  <c r="G5" i="56"/>
  <c r="AA5" i="56"/>
  <c r="X5" i="56"/>
  <c r="Z5" i="56" s="1"/>
  <c r="AD5" i="56" s="1"/>
  <c r="N5" i="56"/>
  <c r="M5" i="56"/>
  <c r="AA4" i="56"/>
  <c r="X4" i="56"/>
  <c r="Z4" i="56" s="1"/>
  <c r="AD4" i="56" s="1"/>
  <c r="R4" i="56"/>
  <c r="T4" i="56" s="1"/>
  <c r="U4" i="56" s="1"/>
  <c r="N4" i="56"/>
  <c r="M4" i="56"/>
  <c r="O4" i="56" s="1"/>
  <c r="G4" i="56"/>
  <c r="AB3" i="56"/>
  <c r="AB4" i="56" s="1"/>
  <c r="AC4" i="56" s="1"/>
  <c r="T3" i="56"/>
  <c r="R4" i="55"/>
  <c r="T4" i="55" s="1"/>
  <c r="U4" i="55" s="1"/>
  <c r="AB4" i="55" s="1"/>
  <c r="AA4" i="55"/>
  <c r="Z4" i="55"/>
  <c r="AD4" i="55" s="1"/>
  <c r="X4" i="55"/>
  <c r="N4" i="55"/>
  <c r="M4" i="55"/>
  <c r="G4" i="55"/>
  <c r="AB3" i="55"/>
  <c r="U3" i="55"/>
  <c r="T3" i="55"/>
  <c r="N9" i="52"/>
  <c r="M9" i="52"/>
  <c r="AA4" i="54"/>
  <c r="X4" i="54"/>
  <c r="Z4" i="54" s="1"/>
  <c r="AD4" i="54" s="1"/>
  <c r="R4" i="54"/>
  <c r="T4" i="54" s="1"/>
  <c r="U4" i="54" s="1"/>
  <c r="N4" i="54"/>
  <c r="M4" i="54"/>
  <c r="G4" i="54"/>
  <c r="AB3" i="54"/>
  <c r="U3" i="54"/>
  <c r="T3" i="54"/>
  <c r="R4" i="53"/>
  <c r="O4" i="53"/>
  <c r="N4" i="53"/>
  <c r="M4" i="53"/>
  <c r="G4" i="53"/>
  <c r="AA4" i="53"/>
  <c r="X4" i="53"/>
  <c r="Z4" i="53" s="1"/>
  <c r="AD4" i="53" s="1"/>
  <c r="T4" i="53"/>
  <c r="U4" i="53" s="1"/>
  <c r="AB3" i="53"/>
  <c r="T3" i="53"/>
  <c r="R9" i="52"/>
  <c r="T9" i="52" s="1"/>
  <c r="U9" i="52" s="1"/>
  <c r="G9" i="52"/>
  <c r="AA9" i="52"/>
  <c r="X9" i="52"/>
  <c r="Z9" i="52" s="1"/>
  <c r="R8" i="52"/>
  <c r="R10" i="52" s="1"/>
  <c r="Y10" i="52"/>
  <c r="W10" i="52"/>
  <c r="V10" i="52"/>
  <c r="S10" i="52"/>
  <c r="AA8" i="52"/>
  <c r="X8" i="52"/>
  <c r="Z8" i="52" s="1"/>
  <c r="G8" i="52"/>
  <c r="AB7" i="52"/>
  <c r="U7" i="52" s="1"/>
  <c r="T7" i="52"/>
  <c r="N7" i="52"/>
  <c r="N8" i="52" s="1"/>
  <c r="K7" i="52"/>
  <c r="P7" i="52" s="1"/>
  <c r="H7" i="52"/>
  <c r="M7" i="52" s="1"/>
  <c r="F10" i="52"/>
  <c r="I10" i="52"/>
  <c r="H10" i="52"/>
  <c r="K10" i="52"/>
  <c r="AB4" i="69" l="1"/>
  <c r="AC4" i="69"/>
  <c r="O4" i="69"/>
  <c r="U3" i="69"/>
  <c r="AB4" i="68"/>
  <c r="AC4" i="68" s="1"/>
  <c r="O4" i="68"/>
  <c r="U3" i="68"/>
  <c r="AB4" i="66"/>
  <c r="O4" i="66"/>
  <c r="AC4" i="66"/>
  <c r="AA5" i="66" s="1"/>
  <c r="AB5" i="66" s="1"/>
  <c r="AC5" i="66" s="1"/>
  <c r="M5" i="66"/>
  <c r="O5" i="66" s="1"/>
  <c r="U3" i="66"/>
  <c r="AC16" i="32"/>
  <c r="AB4" i="65"/>
  <c r="AC4" i="65" s="1"/>
  <c r="U3" i="65"/>
  <c r="AB4" i="64"/>
  <c r="AC4" i="64"/>
  <c r="U3" i="64"/>
  <c r="O4" i="63"/>
  <c r="AC4" i="63"/>
  <c r="O5" i="63"/>
  <c r="AD6" i="63"/>
  <c r="AC17" i="23"/>
  <c r="AC17" i="31"/>
  <c r="U3" i="63"/>
  <c r="O5" i="62"/>
  <c r="AB4" i="62"/>
  <c r="AC4" i="62" s="1"/>
  <c r="AC5" i="62"/>
  <c r="U3" i="62"/>
  <c r="O20" i="1"/>
  <c r="AC20" i="1"/>
  <c r="AB4" i="61"/>
  <c r="AC4" i="61" s="1"/>
  <c r="U3" i="61"/>
  <c r="O15" i="4"/>
  <c r="AC15" i="4"/>
  <c r="AD19" i="1"/>
  <c r="AB19" i="1"/>
  <c r="AC19" i="1" s="1"/>
  <c r="O4" i="59"/>
  <c r="AC4" i="59"/>
  <c r="O5" i="58"/>
  <c r="AC4" i="58"/>
  <c r="AA5" i="58" s="1"/>
  <c r="AB5" i="58" s="1"/>
  <c r="AC5" i="58" s="1"/>
  <c r="O4" i="58"/>
  <c r="U3" i="58"/>
  <c r="AB4" i="57"/>
  <c r="O4" i="57"/>
  <c r="AC4" i="57"/>
  <c r="AA5" i="57" s="1"/>
  <c r="AB5" i="57" s="1"/>
  <c r="N5" i="57"/>
  <c r="O5" i="57" s="1"/>
  <c r="U3" i="57"/>
  <c r="AC5" i="56"/>
  <c r="O5" i="56"/>
  <c r="U3" i="56"/>
  <c r="O4" i="55"/>
  <c r="AC4" i="55"/>
  <c r="J10" i="52"/>
  <c r="O9" i="52"/>
  <c r="AB9" i="52"/>
  <c r="AD9" i="52"/>
  <c r="AB4" i="54"/>
  <c r="AC4" i="54" s="1"/>
  <c r="O4" i="54"/>
  <c r="AB4" i="53"/>
  <c r="AC4" i="53"/>
  <c r="U3" i="53"/>
  <c r="AC9" i="52"/>
  <c r="T8" i="52"/>
  <c r="U8" i="52" s="1"/>
  <c r="U10" i="52" s="1"/>
  <c r="N10" i="52"/>
  <c r="M10" i="52"/>
  <c r="G10" i="52"/>
  <c r="O7" i="52"/>
  <c r="L8" i="52" s="1"/>
  <c r="P8" i="52" s="1"/>
  <c r="AD8" i="52"/>
  <c r="Z10" i="52"/>
  <c r="P10" i="52"/>
  <c r="X10" i="52"/>
  <c r="AA15" i="7"/>
  <c r="V15" i="7"/>
  <c r="X15" i="7" s="1"/>
  <c r="J15" i="7"/>
  <c r="G15" i="7" s="1"/>
  <c r="T15" i="7"/>
  <c r="W36" i="33"/>
  <c r="V36" i="33"/>
  <c r="T36" i="33"/>
  <c r="S36" i="33"/>
  <c r="R36" i="33"/>
  <c r="Q36" i="33"/>
  <c r="P36" i="33"/>
  <c r="O36" i="33"/>
  <c r="N36" i="33"/>
  <c r="M36" i="33"/>
  <c r="G36" i="33"/>
  <c r="C36" i="33"/>
  <c r="Y17" i="51"/>
  <c r="W17" i="51"/>
  <c r="V17" i="51"/>
  <c r="S17" i="51"/>
  <c r="R17" i="51"/>
  <c r="K17" i="51"/>
  <c r="X16" i="51"/>
  <c r="Z16" i="51" s="1"/>
  <c r="T16" i="51"/>
  <c r="U16" i="51" s="1"/>
  <c r="J16" i="51"/>
  <c r="G16" i="51"/>
  <c r="X15" i="51"/>
  <c r="Z15" i="51" s="1"/>
  <c r="T15" i="51"/>
  <c r="U15" i="51" s="1"/>
  <c r="G15" i="51"/>
  <c r="X14" i="51"/>
  <c r="Z14" i="51" s="1"/>
  <c r="T14" i="51"/>
  <c r="U14" i="51" s="1"/>
  <c r="J14" i="51"/>
  <c r="G14" i="51"/>
  <c r="X13" i="51"/>
  <c r="T13" i="51"/>
  <c r="U13" i="51" s="1"/>
  <c r="G13" i="51"/>
  <c r="X12" i="51"/>
  <c r="T12" i="51"/>
  <c r="U12" i="51" s="1"/>
  <c r="G12" i="51"/>
  <c r="X11" i="51"/>
  <c r="Z11" i="51" s="1"/>
  <c r="U11" i="51"/>
  <c r="T11" i="51"/>
  <c r="J11" i="51"/>
  <c r="G11" i="51"/>
  <c r="X10" i="51"/>
  <c r="Z10" i="51" s="1"/>
  <c r="T10" i="51"/>
  <c r="U10" i="51" s="1"/>
  <c r="J10" i="51"/>
  <c r="G10" i="51"/>
  <c r="X9" i="51"/>
  <c r="Z9" i="51" s="1"/>
  <c r="U9" i="51"/>
  <c r="N9" i="51"/>
  <c r="N10" i="51" s="1"/>
  <c r="N11" i="51" s="1"/>
  <c r="N12" i="51" s="1"/>
  <c r="N13" i="51" s="1"/>
  <c r="N14" i="51" s="1"/>
  <c r="N15" i="51" s="1"/>
  <c r="N16" i="51" s="1"/>
  <c r="J9" i="51"/>
  <c r="G9" i="51"/>
  <c r="AA8" i="51"/>
  <c r="X8" i="51"/>
  <c r="X17" i="51" s="1"/>
  <c r="T8" i="51"/>
  <c r="U8" i="51" s="1"/>
  <c r="J8" i="51"/>
  <c r="G8" i="51"/>
  <c r="B8" i="51"/>
  <c r="A8" i="51"/>
  <c r="A9" i="51" s="1"/>
  <c r="A10" i="51" s="1"/>
  <c r="A11" i="51" s="1"/>
  <c r="A12" i="51" s="1"/>
  <c r="A13" i="51" s="1"/>
  <c r="A14" i="51" s="1"/>
  <c r="A15" i="51" s="1"/>
  <c r="A16" i="51" s="1"/>
  <c r="AB7" i="51"/>
  <c r="U7" i="51"/>
  <c r="T7" i="51"/>
  <c r="P7" i="51"/>
  <c r="N7" i="51"/>
  <c r="N8" i="51" s="1"/>
  <c r="M7" i="51"/>
  <c r="O7" i="51" s="1"/>
  <c r="L8" i="51" s="1"/>
  <c r="G7" i="51"/>
  <c r="AD17" i="14"/>
  <c r="P17" i="14"/>
  <c r="AA16" i="14"/>
  <c r="AB16" i="14" s="1"/>
  <c r="AC16" i="14" s="1"/>
  <c r="Z16" i="14"/>
  <c r="AD16" i="14" s="1"/>
  <c r="X16" i="14"/>
  <c r="M16" i="14"/>
  <c r="L16" i="14"/>
  <c r="P16" i="14"/>
  <c r="O16" i="14"/>
  <c r="N16" i="14"/>
  <c r="G16" i="14"/>
  <c r="M7" i="33"/>
  <c r="W50" i="33"/>
  <c r="V50" i="33"/>
  <c r="T50" i="33"/>
  <c r="S50" i="33"/>
  <c r="R50" i="33"/>
  <c r="Q50" i="33"/>
  <c r="P50" i="33"/>
  <c r="O50" i="33"/>
  <c r="N50" i="33"/>
  <c r="M50" i="33"/>
  <c r="W49" i="33"/>
  <c r="V49" i="33"/>
  <c r="T49" i="33"/>
  <c r="S49" i="33"/>
  <c r="R49" i="33"/>
  <c r="Q49" i="33"/>
  <c r="P49" i="33"/>
  <c r="O49" i="33"/>
  <c r="N49" i="33"/>
  <c r="M49" i="33"/>
  <c r="W48" i="33"/>
  <c r="V48" i="33"/>
  <c r="T48" i="33"/>
  <c r="S48" i="33"/>
  <c r="R48" i="33"/>
  <c r="Q48" i="33"/>
  <c r="P48" i="33"/>
  <c r="O48" i="33"/>
  <c r="N48" i="33"/>
  <c r="M48" i="33"/>
  <c r="W47" i="33"/>
  <c r="V47" i="33"/>
  <c r="T47" i="33"/>
  <c r="S47" i="33"/>
  <c r="R47" i="33"/>
  <c r="Q47" i="33"/>
  <c r="P47" i="33"/>
  <c r="O47" i="33"/>
  <c r="N47" i="33"/>
  <c r="M47" i="33"/>
  <c r="W46" i="33"/>
  <c r="V46" i="33"/>
  <c r="T46" i="33"/>
  <c r="S46" i="33"/>
  <c r="R46" i="33"/>
  <c r="Q46" i="33"/>
  <c r="P46" i="33"/>
  <c r="O46" i="33"/>
  <c r="N46" i="33"/>
  <c r="M46" i="33"/>
  <c r="W45" i="33"/>
  <c r="V45" i="33"/>
  <c r="T45" i="33"/>
  <c r="S45" i="33"/>
  <c r="R45" i="33"/>
  <c r="Q45" i="33"/>
  <c r="P45" i="33"/>
  <c r="O45" i="33"/>
  <c r="N45" i="33"/>
  <c r="M45" i="33"/>
  <c r="W44" i="33"/>
  <c r="V44" i="33"/>
  <c r="T44" i="33"/>
  <c r="S44" i="33"/>
  <c r="R44" i="33"/>
  <c r="Q44" i="33"/>
  <c r="P44" i="33"/>
  <c r="O44" i="33"/>
  <c r="N44" i="33"/>
  <c r="M44" i="33"/>
  <c r="W43" i="33"/>
  <c r="V43" i="33"/>
  <c r="T43" i="33"/>
  <c r="S43" i="33"/>
  <c r="R43" i="33"/>
  <c r="Q43" i="33"/>
  <c r="P43" i="33"/>
  <c r="O43" i="33"/>
  <c r="N43" i="33"/>
  <c r="M43" i="33"/>
  <c r="W42" i="33"/>
  <c r="V42" i="33"/>
  <c r="T42" i="33"/>
  <c r="S42" i="33"/>
  <c r="R42" i="33"/>
  <c r="Q42" i="33"/>
  <c r="P42" i="33"/>
  <c r="O42" i="33"/>
  <c r="N42" i="33"/>
  <c r="M42" i="33"/>
  <c r="W41" i="33"/>
  <c r="V41" i="33"/>
  <c r="T41" i="33"/>
  <c r="S41" i="33"/>
  <c r="R41" i="33"/>
  <c r="Q41" i="33"/>
  <c r="P41" i="33"/>
  <c r="O41" i="33"/>
  <c r="N41" i="33"/>
  <c r="M41" i="33"/>
  <c r="L51" i="33"/>
  <c r="G50" i="33"/>
  <c r="G49" i="33"/>
  <c r="G48" i="33"/>
  <c r="G47" i="33"/>
  <c r="G46" i="33"/>
  <c r="G45" i="33"/>
  <c r="G44" i="33"/>
  <c r="G43" i="33"/>
  <c r="G42" i="33"/>
  <c r="G41" i="33"/>
  <c r="I17" i="51"/>
  <c r="F17" i="51"/>
  <c r="H17" i="51"/>
  <c r="AD5" i="66" l="1"/>
  <c r="AC5" i="57"/>
  <c r="AB6" i="63"/>
  <c r="AC6" i="63" s="1"/>
  <c r="AC5" i="63"/>
  <c r="AD5" i="58"/>
  <c r="AD5" i="57"/>
  <c r="AB8" i="52"/>
  <c r="AC8" i="52" s="1"/>
  <c r="T10" i="52"/>
  <c r="O10" i="52"/>
  <c r="M8" i="52"/>
  <c r="U15" i="7"/>
  <c r="Z15" i="7"/>
  <c r="F36" i="33"/>
  <c r="E36" i="33"/>
  <c r="D36" i="33"/>
  <c r="N17" i="51"/>
  <c r="I36" i="33" s="1"/>
  <c r="J17" i="51"/>
  <c r="U17" i="51"/>
  <c r="AB8" i="51"/>
  <c r="P8" i="51"/>
  <c r="L17" i="51"/>
  <c r="M17" i="51" s="1"/>
  <c r="H36" i="33" s="1"/>
  <c r="Z8" i="51"/>
  <c r="T17" i="51"/>
  <c r="M8" i="51"/>
  <c r="W40" i="33"/>
  <c r="V40" i="33"/>
  <c r="T40" i="33"/>
  <c r="S40" i="33"/>
  <c r="R40" i="33"/>
  <c r="Q40" i="33"/>
  <c r="P40" i="33"/>
  <c r="O40" i="33"/>
  <c r="N40" i="33"/>
  <c r="M40" i="33"/>
  <c r="G40" i="33"/>
  <c r="W39" i="33"/>
  <c r="V39" i="33"/>
  <c r="T39" i="33"/>
  <c r="S39" i="33"/>
  <c r="R39" i="33"/>
  <c r="Q39" i="33"/>
  <c r="P39" i="33"/>
  <c r="O39" i="33"/>
  <c r="N39" i="33"/>
  <c r="M39" i="33"/>
  <c r="G39" i="33"/>
  <c r="C47" i="33"/>
  <c r="C48" i="33"/>
  <c r="C49" i="33"/>
  <c r="C50" i="33"/>
  <c r="C43" i="33"/>
  <c r="O8" i="52" l="1"/>
  <c r="O17" i="51"/>
  <c r="J36" i="33" s="1"/>
  <c r="AC8" i="51"/>
  <c r="AA9" i="51" s="1"/>
  <c r="O8" i="51"/>
  <c r="L9" i="51" s="1"/>
  <c r="P9" i="51" s="1"/>
  <c r="M9" i="51"/>
  <c r="AD8" i="51"/>
  <c r="AD15" i="7" l="1"/>
  <c r="AD9" i="51"/>
  <c r="AB9" i="51"/>
  <c r="O9" i="51"/>
  <c r="L10" i="51" s="1"/>
  <c r="P10" i="51" s="1"/>
  <c r="M10" i="51"/>
  <c r="AC9" i="51" l="1"/>
  <c r="AA10" i="51" s="1"/>
  <c r="AB10" i="51"/>
  <c r="O10" i="51"/>
  <c r="L11" i="51" s="1"/>
  <c r="P11" i="51" s="1"/>
  <c r="AA10" i="52" l="1"/>
  <c r="AB10" i="52" s="1"/>
  <c r="AC10" i="52" s="1"/>
  <c r="AD10" i="52"/>
  <c r="AC10" i="51"/>
  <c r="AA11" i="51" s="1"/>
  <c r="AD11" i="51" s="1"/>
  <c r="AD10" i="51"/>
  <c r="M11" i="51"/>
  <c r="AB11" i="51" l="1"/>
  <c r="O11" i="51"/>
  <c r="L12" i="51" s="1"/>
  <c r="M12" i="51" s="1"/>
  <c r="O12" i="51" l="1"/>
  <c r="AC11" i="51"/>
  <c r="AA12" i="51" s="1"/>
  <c r="AB12" i="51" s="1"/>
  <c r="AC12" i="51" l="1"/>
  <c r="AA13" i="51" s="1"/>
  <c r="AB13" i="51"/>
  <c r="L14" i="51"/>
  <c r="P14" i="51" s="1"/>
  <c r="L13" i="51"/>
  <c r="M13" i="51" s="1"/>
  <c r="M14" i="51" l="1"/>
  <c r="O13" i="51"/>
  <c r="AC13" i="51"/>
  <c r="AA14" i="51" s="1"/>
  <c r="AD14" i="51" s="1"/>
  <c r="AB14" i="51" l="1"/>
  <c r="O14" i="51"/>
  <c r="L15" i="51" s="1"/>
  <c r="P15" i="51" s="1"/>
  <c r="M15" i="51" l="1"/>
  <c r="O15" i="51" s="1"/>
  <c r="L16" i="51" s="1"/>
  <c r="P16" i="51" s="1"/>
  <c r="AC14" i="51"/>
  <c r="AA15" i="51" s="1"/>
  <c r="AD15" i="51" s="1"/>
  <c r="AB15" i="51" l="1"/>
  <c r="M16" i="51"/>
  <c r="O16" i="51" s="1"/>
  <c r="AC15" i="51" l="1"/>
  <c r="AA16" i="51" s="1"/>
  <c r="AB16" i="51" s="1"/>
  <c r="AC16" i="51" s="1"/>
  <c r="AD16" i="51" l="1"/>
  <c r="AA17" i="51"/>
  <c r="AB17" i="51" s="1"/>
  <c r="AC17" i="51" s="1"/>
  <c r="X36" i="33" s="1"/>
  <c r="C40" i="33" l="1"/>
  <c r="C41" i="33"/>
  <c r="C42" i="33"/>
  <c r="C44" i="33"/>
  <c r="C45" i="33"/>
  <c r="C46" i="33"/>
  <c r="Y17" i="50"/>
  <c r="W17" i="50"/>
  <c r="V17" i="50"/>
  <c r="T17" i="50"/>
  <c r="S17" i="50"/>
  <c r="R17" i="50"/>
  <c r="K17" i="50"/>
  <c r="X16" i="50"/>
  <c r="Z16" i="50" s="1"/>
  <c r="T16" i="50"/>
  <c r="U16" i="50" s="1"/>
  <c r="J16" i="50"/>
  <c r="G16" i="50"/>
  <c r="X15" i="50"/>
  <c r="Z15" i="50" s="1"/>
  <c r="T15" i="50"/>
  <c r="U15" i="50" s="1"/>
  <c r="G15" i="50"/>
  <c r="X14" i="50"/>
  <c r="Z14" i="50" s="1"/>
  <c r="T14" i="50"/>
  <c r="U14" i="50" s="1"/>
  <c r="J14" i="50"/>
  <c r="G14" i="50"/>
  <c r="X13" i="50"/>
  <c r="U13" i="50"/>
  <c r="T13" i="50"/>
  <c r="G13" i="50"/>
  <c r="X12" i="50"/>
  <c r="T12" i="50"/>
  <c r="U12" i="50" s="1"/>
  <c r="G12" i="50"/>
  <c r="X11" i="50"/>
  <c r="Z11" i="50" s="1"/>
  <c r="U11" i="50"/>
  <c r="T11" i="50"/>
  <c r="J11" i="50"/>
  <c r="G11" i="50"/>
  <c r="Z10" i="50"/>
  <c r="X10" i="50"/>
  <c r="T10" i="50"/>
  <c r="U10" i="50" s="1"/>
  <c r="J10" i="50"/>
  <c r="G10" i="50"/>
  <c r="X9" i="50"/>
  <c r="Z9" i="50" s="1"/>
  <c r="U9" i="50"/>
  <c r="J9" i="50"/>
  <c r="G9" i="50" s="1"/>
  <c r="AA8" i="50"/>
  <c r="Z8" i="50"/>
  <c r="X8" i="50"/>
  <c r="T8" i="50"/>
  <c r="U8" i="50" s="1"/>
  <c r="J8" i="50"/>
  <c r="G8" i="50"/>
  <c r="B8" i="50"/>
  <c r="A8" i="50"/>
  <c r="A9" i="50" s="1"/>
  <c r="A10" i="50" s="1"/>
  <c r="A11" i="50" s="1"/>
  <c r="A12" i="50" s="1"/>
  <c r="A13" i="50" s="1"/>
  <c r="A14" i="50" s="1"/>
  <c r="A15" i="50" s="1"/>
  <c r="A16" i="50" s="1"/>
  <c r="AB7" i="50"/>
  <c r="U7" i="50" s="1"/>
  <c r="T7" i="50"/>
  <c r="P7" i="50"/>
  <c r="N7" i="50"/>
  <c r="N8" i="50" s="1"/>
  <c r="N9" i="50" s="1"/>
  <c r="N10" i="50" s="1"/>
  <c r="N11" i="50" s="1"/>
  <c r="N12" i="50" s="1"/>
  <c r="N13" i="50" s="1"/>
  <c r="N14" i="50" s="1"/>
  <c r="N15" i="50" s="1"/>
  <c r="N16" i="50" s="1"/>
  <c r="M7" i="50"/>
  <c r="G7" i="50"/>
  <c r="Y17" i="49"/>
  <c r="W17" i="49"/>
  <c r="V17" i="49"/>
  <c r="S17" i="49"/>
  <c r="R17" i="49"/>
  <c r="K17" i="49"/>
  <c r="X16" i="49"/>
  <c r="Z16" i="49" s="1"/>
  <c r="T16" i="49"/>
  <c r="U16" i="49" s="1"/>
  <c r="J16" i="49"/>
  <c r="G16" i="49" s="1"/>
  <c r="X15" i="49"/>
  <c r="Z15" i="49" s="1"/>
  <c r="T15" i="49"/>
  <c r="U15" i="49" s="1"/>
  <c r="G15" i="49"/>
  <c r="X14" i="49"/>
  <c r="Z14" i="49" s="1"/>
  <c r="U14" i="49"/>
  <c r="T14" i="49"/>
  <c r="J14" i="49"/>
  <c r="G14" i="49" s="1"/>
  <c r="X13" i="49"/>
  <c r="T13" i="49"/>
  <c r="U13" i="49" s="1"/>
  <c r="G13" i="49"/>
  <c r="X12" i="49"/>
  <c r="T12" i="49"/>
  <c r="U12" i="49" s="1"/>
  <c r="G12" i="49"/>
  <c r="Z11" i="49"/>
  <c r="X11" i="49"/>
  <c r="T11" i="49"/>
  <c r="U11" i="49" s="1"/>
  <c r="J11" i="49"/>
  <c r="G11" i="49"/>
  <c r="X10" i="49"/>
  <c r="Z10" i="49" s="1"/>
  <c r="T10" i="49"/>
  <c r="U10" i="49" s="1"/>
  <c r="J10" i="49"/>
  <c r="G10" i="49" s="1"/>
  <c r="X9" i="49"/>
  <c r="X17" i="49" s="1"/>
  <c r="U9" i="49"/>
  <c r="J9" i="49"/>
  <c r="G9" i="49"/>
  <c r="AA8" i="49"/>
  <c r="Z8" i="49"/>
  <c r="X8" i="49"/>
  <c r="U8" i="49"/>
  <c r="T8" i="49"/>
  <c r="J8" i="49"/>
  <c r="G8" i="49"/>
  <c r="B8" i="49"/>
  <c r="A8" i="49"/>
  <c r="A9" i="49" s="1"/>
  <c r="A10" i="49" s="1"/>
  <c r="A11" i="49" s="1"/>
  <c r="A12" i="49" s="1"/>
  <c r="A13" i="49" s="1"/>
  <c r="A14" i="49" s="1"/>
  <c r="A15" i="49" s="1"/>
  <c r="A16" i="49" s="1"/>
  <c r="AB7" i="49"/>
  <c r="U7" i="49" s="1"/>
  <c r="T7" i="49"/>
  <c r="P7" i="49"/>
  <c r="N7" i="49"/>
  <c r="N8" i="49" s="1"/>
  <c r="N9" i="49" s="1"/>
  <c r="N10" i="49" s="1"/>
  <c r="N11" i="49" s="1"/>
  <c r="N12" i="49" s="1"/>
  <c r="N13" i="49" s="1"/>
  <c r="N14" i="49" s="1"/>
  <c r="N15" i="49" s="1"/>
  <c r="N16" i="49" s="1"/>
  <c r="M7" i="49"/>
  <c r="G7" i="49"/>
  <c r="Y17" i="48"/>
  <c r="W17" i="48"/>
  <c r="V17" i="48"/>
  <c r="S17" i="48"/>
  <c r="R17" i="48"/>
  <c r="K17" i="48"/>
  <c r="X16" i="48"/>
  <c r="Z16" i="48" s="1"/>
  <c r="T16" i="48"/>
  <c r="U16" i="48" s="1"/>
  <c r="J16" i="48"/>
  <c r="G16" i="48"/>
  <c r="X15" i="48"/>
  <c r="Z15" i="48" s="1"/>
  <c r="T15" i="48"/>
  <c r="U15" i="48" s="1"/>
  <c r="G15" i="48"/>
  <c r="X14" i="48"/>
  <c r="Z14" i="48" s="1"/>
  <c r="T14" i="48"/>
  <c r="U14" i="48" s="1"/>
  <c r="J14" i="48"/>
  <c r="G14" i="48"/>
  <c r="X13" i="48"/>
  <c r="U13" i="48"/>
  <c r="T13" i="48"/>
  <c r="G13" i="48"/>
  <c r="X12" i="48"/>
  <c r="T12" i="48"/>
  <c r="U12" i="48" s="1"/>
  <c r="G12" i="48"/>
  <c r="X11" i="48"/>
  <c r="Z11" i="48" s="1"/>
  <c r="U11" i="48"/>
  <c r="T11" i="48"/>
  <c r="J11" i="48"/>
  <c r="G11" i="48"/>
  <c r="Z10" i="48"/>
  <c r="X10" i="48"/>
  <c r="T10" i="48"/>
  <c r="U10" i="48" s="1"/>
  <c r="J10" i="48"/>
  <c r="G10" i="48" s="1"/>
  <c r="X9" i="48"/>
  <c r="Z9" i="48" s="1"/>
  <c r="U9" i="48"/>
  <c r="J9" i="48"/>
  <c r="G9" i="48" s="1"/>
  <c r="AA8" i="48"/>
  <c r="Z8" i="48"/>
  <c r="X8" i="48"/>
  <c r="X17" i="48" s="1"/>
  <c r="U8" i="48"/>
  <c r="T8" i="48"/>
  <c r="J8" i="48"/>
  <c r="G8" i="48"/>
  <c r="B8" i="48"/>
  <c r="A8" i="48"/>
  <c r="A9" i="48" s="1"/>
  <c r="A10" i="48" s="1"/>
  <c r="A11" i="48" s="1"/>
  <c r="A12" i="48" s="1"/>
  <c r="A13" i="48" s="1"/>
  <c r="A14" i="48" s="1"/>
  <c r="A15" i="48" s="1"/>
  <c r="A16" i="48" s="1"/>
  <c r="AB7" i="48"/>
  <c r="U7" i="48" s="1"/>
  <c r="T7" i="48"/>
  <c r="P7" i="48"/>
  <c r="N7" i="48"/>
  <c r="N8" i="48" s="1"/>
  <c r="N9" i="48" s="1"/>
  <c r="N10" i="48" s="1"/>
  <c r="N11" i="48" s="1"/>
  <c r="N12" i="48" s="1"/>
  <c r="N13" i="48" s="1"/>
  <c r="N14" i="48" s="1"/>
  <c r="N15" i="48" s="1"/>
  <c r="N16" i="48" s="1"/>
  <c r="M7" i="48"/>
  <c r="O7" i="48" s="1"/>
  <c r="L8" i="48" s="1"/>
  <c r="G7" i="48"/>
  <c r="Y17" i="47"/>
  <c r="W17" i="47"/>
  <c r="V17" i="47"/>
  <c r="S17" i="47"/>
  <c r="R17" i="47"/>
  <c r="K17" i="47"/>
  <c r="X16" i="47"/>
  <c r="Z16" i="47" s="1"/>
  <c r="T16" i="47"/>
  <c r="U16" i="47" s="1"/>
  <c r="J16" i="47"/>
  <c r="G16" i="47" s="1"/>
  <c r="X15" i="47"/>
  <c r="Z15" i="47" s="1"/>
  <c r="T15" i="47"/>
  <c r="U15" i="47" s="1"/>
  <c r="G15" i="47"/>
  <c r="X14" i="47"/>
  <c r="Z14" i="47" s="1"/>
  <c r="U14" i="47"/>
  <c r="T14" i="47"/>
  <c r="J14" i="47"/>
  <c r="G14" i="47"/>
  <c r="X13" i="47"/>
  <c r="T13" i="47"/>
  <c r="U13" i="47" s="1"/>
  <c r="G13" i="47"/>
  <c r="X12" i="47"/>
  <c r="T12" i="47"/>
  <c r="U12" i="47" s="1"/>
  <c r="G12" i="47"/>
  <c r="Z11" i="47"/>
  <c r="X11" i="47"/>
  <c r="T11" i="47"/>
  <c r="U11" i="47" s="1"/>
  <c r="J11" i="47"/>
  <c r="G11" i="47"/>
  <c r="X10" i="47"/>
  <c r="Z10" i="47" s="1"/>
  <c r="T10" i="47"/>
  <c r="U10" i="47" s="1"/>
  <c r="J10" i="47"/>
  <c r="G10" i="47"/>
  <c r="X9" i="47"/>
  <c r="X17" i="47" s="1"/>
  <c r="U9" i="47"/>
  <c r="J9" i="47"/>
  <c r="G9" i="47"/>
  <c r="AA8" i="47"/>
  <c r="Z8" i="47"/>
  <c r="X8" i="47"/>
  <c r="T8" i="47"/>
  <c r="U8" i="47" s="1"/>
  <c r="J8" i="47"/>
  <c r="G8" i="47"/>
  <c r="B8" i="47"/>
  <c r="A8" i="47"/>
  <c r="A9" i="47" s="1"/>
  <c r="A10" i="47" s="1"/>
  <c r="A11" i="47" s="1"/>
  <c r="A12" i="47" s="1"/>
  <c r="A13" i="47" s="1"/>
  <c r="A14" i="47" s="1"/>
  <c r="A15" i="47" s="1"/>
  <c r="A16" i="47" s="1"/>
  <c r="AB7" i="47"/>
  <c r="U7" i="47" s="1"/>
  <c r="T7" i="47"/>
  <c r="P7" i="47"/>
  <c r="N7" i="47"/>
  <c r="N8" i="47" s="1"/>
  <c r="N9" i="47" s="1"/>
  <c r="N10" i="47" s="1"/>
  <c r="N11" i="47" s="1"/>
  <c r="N12" i="47" s="1"/>
  <c r="N13" i="47" s="1"/>
  <c r="N14" i="47" s="1"/>
  <c r="N15" i="47" s="1"/>
  <c r="N16" i="47" s="1"/>
  <c r="M7" i="47"/>
  <c r="G7" i="47"/>
  <c r="AD7" i="46"/>
  <c r="Y17" i="46"/>
  <c r="W17" i="46"/>
  <c r="V17" i="46"/>
  <c r="S17" i="46"/>
  <c r="R17" i="46"/>
  <c r="K17" i="46"/>
  <c r="X16" i="46"/>
  <c r="Z16" i="46" s="1"/>
  <c r="T16" i="46"/>
  <c r="U16" i="46" s="1"/>
  <c r="J16" i="46"/>
  <c r="G16" i="46"/>
  <c r="X15" i="46"/>
  <c r="Z15" i="46" s="1"/>
  <c r="T15" i="46"/>
  <c r="U15" i="46" s="1"/>
  <c r="G15" i="46"/>
  <c r="X14" i="46"/>
  <c r="Z14" i="46" s="1"/>
  <c r="T14" i="46"/>
  <c r="U14" i="46" s="1"/>
  <c r="J14" i="46"/>
  <c r="G14" i="46"/>
  <c r="X13" i="46"/>
  <c r="U13" i="46"/>
  <c r="T13" i="46"/>
  <c r="G13" i="46"/>
  <c r="X12" i="46"/>
  <c r="T12" i="46"/>
  <c r="U12" i="46" s="1"/>
  <c r="G12" i="46"/>
  <c r="X11" i="46"/>
  <c r="Z11" i="46" s="1"/>
  <c r="U11" i="46"/>
  <c r="T11" i="46"/>
  <c r="J11" i="46"/>
  <c r="G11" i="46"/>
  <c r="Z10" i="46"/>
  <c r="X10" i="46"/>
  <c r="T10" i="46"/>
  <c r="U10" i="46" s="1"/>
  <c r="J10" i="46"/>
  <c r="G10" i="46" s="1"/>
  <c r="X9" i="46"/>
  <c r="Z9" i="46" s="1"/>
  <c r="U9" i="46"/>
  <c r="J9" i="46"/>
  <c r="G9" i="46" s="1"/>
  <c r="AA8" i="46"/>
  <c r="Z8" i="46"/>
  <c r="X8" i="46"/>
  <c r="X17" i="46" s="1"/>
  <c r="U8" i="46"/>
  <c r="T8" i="46"/>
  <c r="J8" i="46"/>
  <c r="G8" i="46"/>
  <c r="B8" i="46"/>
  <c r="A8" i="46"/>
  <c r="A9" i="46" s="1"/>
  <c r="A10" i="46" s="1"/>
  <c r="A11" i="46" s="1"/>
  <c r="A12" i="46" s="1"/>
  <c r="A13" i="46" s="1"/>
  <c r="A14" i="46" s="1"/>
  <c r="A15" i="46" s="1"/>
  <c r="A16" i="46" s="1"/>
  <c r="AB7" i="46"/>
  <c r="U7" i="46" s="1"/>
  <c r="T7" i="46"/>
  <c r="P7" i="46"/>
  <c r="N7" i="46"/>
  <c r="N8" i="46" s="1"/>
  <c r="N9" i="46" s="1"/>
  <c r="N10" i="46" s="1"/>
  <c r="N11" i="46" s="1"/>
  <c r="N12" i="46" s="1"/>
  <c r="N13" i="46" s="1"/>
  <c r="N14" i="46" s="1"/>
  <c r="N15" i="46" s="1"/>
  <c r="N16" i="46" s="1"/>
  <c r="M7" i="46"/>
  <c r="G7" i="46"/>
  <c r="AD7" i="45"/>
  <c r="Y17" i="45"/>
  <c r="W17" i="45"/>
  <c r="V17" i="45"/>
  <c r="S17" i="45"/>
  <c r="R17" i="45"/>
  <c r="K17" i="45"/>
  <c r="Z16" i="45"/>
  <c r="X16" i="45"/>
  <c r="T16" i="45"/>
  <c r="U16" i="45" s="1"/>
  <c r="J16" i="45"/>
  <c r="G16" i="45" s="1"/>
  <c r="X15" i="45"/>
  <c r="Z15" i="45" s="1"/>
  <c r="T15" i="45"/>
  <c r="U15" i="45" s="1"/>
  <c r="G15" i="45"/>
  <c r="X14" i="45"/>
  <c r="Z14" i="45" s="1"/>
  <c r="T14" i="45"/>
  <c r="U14" i="45" s="1"/>
  <c r="J14" i="45"/>
  <c r="G14" i="45"/>
  <c r="X13" i="45"/>
  <c r="T13" i="45"/>
  <c r="U13" i="45" s="1"/>
  <c r="G13" i="45"/>
  <c r="X12" i="45"/>
  <c r="T12" i="45"/>
  <c r="U12" i="45" s="1"/>
  <c r="G12" i="45"/>
  <c r="X11" i="45"/>
  <c r="Z11" i="45" s="1"/>
  <c r="T11" i="45"/>
  <c r="U11" i="45" s="1"/>
  <c r="J11" i="45"/>
  <c r="G11" i="45"/>
  <c r="X10" i="45"/>
  <c r="Z10" i="45" s="1"/>
  <c r="T10" i="45"/>
  <c r="U10" i="45" s="1"/>
  <c r="J10" i="45"/>
  <c r="G10" i="45" s="1"/>
  <c r="X9" i="45"/>
  <c r="Z9" i="45" s="1"/>
  <c r="U9" i="45"/>
  <c r="J9" i="45"/>
  <c r="G9" i="45"/>
  <c r="AA8" i="45"/>
  <c r="Z8" i="45"/>
  <c r="X8" i="45"/>
  <c r="U8" i="45"/>
  <c r="T8" i="45"/>
  <c r="J8" i="45"/>
  <c r="G8" i="45"/>
  <c r="B8" i="45"/>
  <c r="A8" i="45"/>
  <c r="A9" i="45" s="1"/>
  <c r="A10" i="45" s="1"/>
  <c r="A11" i="45" s="1"/>
  <c r="A12" i="45" s="1"/>
  <c r="A13" i="45" s="1"/>
  <c r="A14" i="45" s="1"/>
  <c r="A15" i="45" s="1"/>
  <c r="A16" i="45" s="1"/>
  <c r="AB7" i="45"/>
  <c r="U7" i="45" s="1"/>
  <c r="T7" i="45"/>
  <c r="P7" i="45"/>
  <c r="N7" i="45"/>
  <c r="N8" i="45" s="1"/>
  <c r="N9" i="45" s="1"/>
  <c r="N10" i="45" s="1"/>
  <c r="N11" i="45" s="1"/>
  <c r="N12" i="45" s="1"/>
  <c r="N13" i="45" s="1"/>
  <c r="N14" i="45" s="1"/>
  <c r="N15" i="45" s="1"/>
  <c r="N16" i="45" s="1"/>
  <c r="M7" i="45"/>
  <c r="G7" i="45"/>
  <c r="AD7" i="44"/>
  <c r="Y17" i="44"/>
  <c r="W17" i="44"/>
  <c r="V17" i="44"/>
  <c r="S17" i="44"/>
  <c r="R17" i="44"/>
  <c r="K17" i="44"/>
  <c r="X16" i="44"/>
  <c r="Z16" i="44" s="1"/>
  <c r="T16" i="44"/>
  <c r="U16" i="44" s="1"/>
  <c r="J16" i="44"/>
  <c r="G16" i="44"/>
  <c r="X15" i="44"/>
  <c r="Z15" i="44" s="1"/>
  <c r="T15" i="44"/>
  <c r="U15" i="44" s="1"/>
  <c r="G15" i="44"/>
  <c r="X14" i="44"/>
  <c r="Z14" i="44" s="1"/>
  <c r="T14" i="44"/>
  <c r="U14" i="44" s="1"/>
  <c r="J14" i="44"/>
  <c r="G14" i="44"/>
  <c r="X13" i="44"/>
  <c r="T13" i="44"/>
  <c r="U13" i="44" s="1"/>
  <c r="G13" i="44"/>
  <c r="X12" i="44"/>
  <c r="T12" i="44"/>
  <c r="U12" i="44" s="1"/>
  <c r="G12" i="44"/>
  <c r="X11" i="44"/>
  <c r="Z11" i="44" s="1"/>
  <c r="U11" i="44"/>
  <c r="T11" i="44"/>
  <c r="J11" i="44"/>
  <c r="G11" i="44"/>
  <c r="X10" i="44"/>
  <c r="Z10" i="44" s="1"/>
  <c r="T10" i="44"/>
  <c r="U10" i="44" s="1"/>
  <c r="J10" i="44"/>
  <c r="G10" i="44" s="1"/>
  <c r="X9" i="44"/>
  <c r="Z9" i="44" s="1"/>
  <c r="U9" i="44"/>
  <c r="J9" i="44"/>
  <c r="G9" i="44"/>
  <c r="AA8" i="44"/>
  <c r="Z8" i="44"/>
  <c r="X8" i="44"/>
  <c r="X17" i="44" s="1"/>
  <c r="U8" i="44"/>
  <c r="T8" i="44"/>
  <c r="J8" i="44"/>
  <c r="G8" i="44"/>
  <c r="B8" i="44"/>
  <c r="A8" i="44"/>
  <c r="A9" i="44" s="1"/>
  <c r="A10" i="44" s="1"/>
  <c r="A11" i="44" s="1"/>
  <c r="A12" i="44" s="1"/>
  <c r="A13" i="44" s="1"/>
  <c r="A14" i="44" s="1"/>
  <c r="A15" i="44" s="1"/>
  <c r="A16" i="44" s="1"/>
  <c r="AB7" i="44"/>
  <c r="U7" i="44" s="1"/>
  <c r="T7" i="44"/>
  <c r="P7" i="44"/>
  <c r="N7" i="44"/>
  <c r="N8" i="44" s="1"/>
  <c r="N9" i="44" s="1"/>
  <c r="N10" i="44" s="1"/>
  <c r="N11" i="44" s="1"/>
  <c r="N12" i="44" s="1"/>
  <c r="N13" i="44" s="1"/>
  <c r="N14" i="44" s="1"/>
  <c r="N15" i="44" s="1"/>
  <c r="N16" i="44" s="1"/>
  <c r="M7" i="44"/>
  <c r="O7" i="44" s="1"/>
  <c r="L8" i="44" s="1"/>
  <c r="G7" i="44"/>
  <c r="AD7" i="43"/>
  <c r="Y17" i="43"/>
  <c r="W17" i="43"/>
  <c r="V17" i="43"/>
  <c r="S17" i="43"/>
  <c r="R17" i="43"/>
  <c r="K17" i="43"/>
  <c r="X16" i="43"/>
  <c r="Z16" i="43" s="1"/>
  <c r="T16" i="43"/>
  <c r="U16" i="43" s="1"/>
  <c r="J16" i="43"/>
  <c r="G16" i="43"/>
  <c r="X15" i="43"/>
  <c r="Z15" i="43" s="1"/>
  <c r="T15" i="43"/>
  <c r="U15" i="43" s="1"/>
  <c r="G15" i="43"/>
  <c r="X14" i="43"/>
  <c r="Z14" i="43" s="1"/>
  <c r="T14" i="43"/>
  <c r="U14" i="43" s="1"/>
  <c r="J14" i="43"/>
  <c r="G14" i="43"/>
  <c r="X13" i="43"/>
  <c r="T13" i="43"/>
  <c r="U13" i="43" s="1"/>
  <c r="G13" i="43"/>
  <c r="X12" i="43"/>
  <c r="T12" i="43"/>
  <c r="U12" i="43" s="1"/>
  <c r="G12" i="43"/>
  <c r="X11" i="43"/>
  <c r="Z11" i="43" s="1"/>
  <c r="T11" i="43"/>
  <c r="U11" i="43" s="1"/>
  <c r="J11" i="43"/>
  <c r="G11" i="43"/>
  <c r="X10" i="43"/>
  <c r="Z10" i="43" s="1"/>
  <c r="T10" i="43"/>
  <c r="U10" i="43" s="1"/>
  <c r="J10" i="43"/>
  <c r="G10" i="43"/>
  <c r="X9" i="43"/>
  <c r="X17" i="43" s="1"/>
  <c r="U9" i="43"/>
  <c r="J9" i="43"/>
  <c r="G9" i="43"/>
  <c r="AA8" i="43"/>
  <c r="Z8" i="43"/>
  <c r="X8" i="43"/>
  <c r="T8" i="43"/>
  <c r="U8" i="43" s="1"/>
  <c r="J8" i="43"/>
  <c r="G8" i="43"/>
  <c r="B8" i="43"/>
  <c r="A8" i="43"/>
  <c r="A9" i="43" s="1"/>
  <c r="A10" i="43" s="1"/>
  <c r="A11" i="43" s="1"/>
  <c r="A12" i="43" s="1"/>
  <c r="A13" i="43" s="1"/>
  <c r="A14" i="43" s="1"/>
  <c r="A15" i="43" s="1"/>
  <c r="A16" i="43" s="1"/>
  <c r="AB7" i="43"/>
  <c r="U7" i="43" s="1"/>
  <c r="T7" i="43"/>
  <c r="P7" i="43"/>
  <c r="N7" i="43"/>
  <c r="N8" i="43" s="1"/>
  <c r="N9" i="43" s="1"/>
  <c r="N10" i="43" s="1"/>
  <c r="N11" i="43" s="1"/>
  <c r="N12" i="43" s="1"/>
  <c r="N13" i="43" s="1"/>
  <c r="N14" i="43" s="1"/>
  <c r="N15" i="43" s="1"/>
  <c r="N16" i="43" s="1"/>
  <c r="M7" i="43"/>
  <c r="G7" i="43"/>
  <c r="F17" i="49"/>
  <c r="I17" i="43"/>
  <c r="I17" i="46"/>
  <c r="F17" i="45"/>
  <c r="H17" i="46"/>
  <c r="I17" i="45"/>
  <c r="F17" i="50"/>
  <c r="I17" i="49"/>
  <c r="I17" i="50"/>
  <c r="F17" i="43"/>
  <c r="H17" i="45"/>
  <c r="H17" i="44"/>
  <c r="H17" i="48"/>
  <c r="H17" i="50"/>
  <c r="I17" i="47"/>
  <c r="H17" i="43"/>
  <c r="I17" i="44"/>
  <c r="F17" i="46"/>
  <c r="F17" i="47"/>
  <c r="H17" i="47"/>
  <c r="H17" i="49"/>
  <c r="F17" i="48"/>
  <c r="I17" i="48"/>
  <c r="F17" i="44"/>
  <c r="F50" i="33" l="1"/>
  <c r="E50" i="33"/>
  <c r="D50" i="33"/>
  <c r="F49" i="33"/>
  <c r="E49" i="33"/>
  <c r="D49" i="33"/>
  <c r="F48" i="33"/>
  <c r="E48" i="33"/>
  <c r="D48" i="33"/>
  <c r="F47" i="33"/>
  <c r="E47" i="33"/>
  <c r="D47" i="33"/>
  <c r="F46" i="33"/>
  <c r="E46" i="33"/>
  <c r="D46" i="33"/>
  <c r="F45" i="33"/>
  <c r="E45" i="33"/>
  <c r="D45" i="33"/>
  <c r="F44" i="33"/>
  <c r="E44" i="33"/>
  <c r="D44" i="33"/>
  <c r="F43" i="33"/>
  <c r="E43" i="33"/>
  <c r="D43" i="33"/>
  <c r="O7" i="50"/>
  <c r="L8" i="50" s="1"/>
  <c r="P8" i="50" s="1"/>
  <c r="J17" i="50"/>
  <c r="N17" i="50"/>
  <c r="I50" i="33" s="1"/>
  <c r="U17" i="50"/>
  <c r="AB8" i="50"/>
  <c r="X17" i="50"/>
  <c r="AD8" i="50"/>
  <c r="N17" i="49"/>
  <c r="I49" i="33" s="1"/>
  <c r="J17" i="49"/>
  <c r="U17" i="49"/>
  <c r="T17" i="49"/>
  <c r="AB8" i="49"/>
  <c r="Z9" i="49"/>
  <c r="AD8" i="49"/>
  <c r="O7" i="49"/>
  <c r="L8" i="49" s="1"/>
  <c r="J17" i="48"/>
  <c r="N17" i="48"/>
  <c r="I48" i="33" s="1"/>
  <c r="U17" i="48"/>
  <c r="P8" i="48"/>
  <c r="L17" i="48"/>
  <c r="M17" i="48" s="1"/>
  <c r="H48" i="33" s="1"/>
  <c r="T17" i="48"/>
  <c r="AB8" i="48"/>
  <c r="AD8" i="48"/>
  <c r="M8" i="48"/>
  <c r="N17" i="47"/>
  <c r="I47" i="33" s="1"/>
  <c r="J17" i="47"/>
  <c r="U17" i="47"/>
  <c r="AB8" i="47"/>
  <c r="T17" i="47"/>
  <c r="Z9" i="47"/>
  <c r="AD8" i="47"/>
  <c r="O7" i="47"/>
  <c r="L8" i="47" s="1"/>
  <c r="M8" i="47" s="1"/>
  <c r="J17" i="46"/>
  <c r="N17" i="46"/>
  <c r="I46" i="33" s="1"/>
  <c r="U17" i="46"/>
  <c r="T17" i="46"/>
  <c r="AB8" i="46"/>
  <c r="O7" i="46"/>
  <c r="L8" i="46" s="1"/>
  <c r="M8" i="46" s="1"/>
  <c r="AD8" i="46"/>
  <c r="O7" i="45"/>
  <c r="L8" i="45" s="1"/>
  <c r="P8" i="45" s="1"/>
  <c r="N17" i="45"/>
  <c r="I45" i="33" s="1"/>
  <c r="J17" i="45"/>
  <c r="L17" i="45"/>
  <c r="M17" i="45" s="1"/>
  <c r="H45" i="33" s="1"/>
  <c r="U17" i="45"/>
  <c r="T17" i="45"/>
  <c r="AB8" i="45"/>
  <c r="AD8" i="45"/>
  <c r="X17" i="45"/>
  <c r="M17" i="44"/>
  <c r="H44" i="33" s="1"/>
  <c r="N17" i="44"/>
  <c r="I44" i="33" s="1"/>
  <c r="J17" i="44"/>
  <c r="P8" i="44"/>
  <c r="L17" i="44"/>
  <c r="U17" i="44"/>
  <c r="T17" i="44"/>
  <c r="AB8" i="44"/>
  <c r="AD8" i="44"/>
  <c r="M8" i="44"/>
  <c r="N17" i="43"/>
  <c r="I43" i="33" s="1"/>
  <c r="J17" i="43"/>
  <c r="U17" i="43"/>
  <c r="AB8" i="43"/>
  <c r="AD8" i="43"/>
  <c r="Z9" i="43"/>
  <c r="O7" i="43"/>
  <c r="L8" i="43" s="1"/>
  <c r="M8" i="43" s="1"/>
  <c r="T17" i="43"/>
  <c r="M8" i="50" l="1"/>
  <c r="L17" i="50"/>
  <c r="M17" i="50" s="1"/>
  <c r="H50" i="33" s="1"/>
  <c r="O8" i="50"/>
  <c r="L9" i="50" s="1"/>
  <c r="P9" i="50" s="1"/>
  <c r="AC8" i="50"/>
  <c r="AA9" i="50" s="1"/>
  <c r="AC8" i="49"/>
  <c r="AA9" i="49" s="1"/>
  <c r="AB9" i="49" s="1"/>
  <c r="L17" i="49"/>
  <c r="M17" i="49" s="1"/>
  <c r="H49" i="33" s="1"/>
  <c r="P8" i="49"/>
  <c r="M8" i="49"/>
  <c r="AD9" i="49"/>
  <c r="AC8" i="48"/>
  <c r="AA9" i="48" s="1"/>
  <c r="O17" i="48"/>
  <c r="J48" i="33" s="1"/>
  <c r="O8" i="48"/>
  <c r="L9" i="48" s="1"/>
  <c r="P9" i="48" s="1"/>
  <c r="AC8" i="47"/>
  <c r="AA9" i="47" s="1"/>
  <c r="AD9" i="47" s="1"/>
  <c r="O8" i="47"/>
  <c r="L9" i="47" s="1"/>
  <c r="P9" i="47" s="1"/>
  <c r="P8" i="47"/>
  <c r="L17" i="47"/>
  <c r="M17" i="47" s="1"/>
  <c r="AC8" i="46"/>
  <c r="AA9" i="46" s="1"/>
  <c r="O8" i="46"/>
  <c r="L9" i="46" s="1"/>
  <c r="P9" i="46" s="1"/>
  <c r="P8" i="46"/>
  <c r="L17" i="46"/>
  <c r="M17" i="46" s="1"/>
  <c r="M8" i="45"/>
  <c r="O8" i="45" s="1"/>
  <c r="L9" i="45" s="1"/>
  <c r="P9" i="45" s="1"/>
  <c r="O17" i="45"/>
  <c r="J45" i="33" s="1"/>
  <c r="AC8" i="45"/>
  <c r="AA9" i="45" s="1"/>
  <c r="AB9" i="45" s="1"/>
  <c r="O17" i="44"/>
  <c r="J44" i="33" s="1"/>
  <c r="O8" i="44"/>
  <c r="L9" i="44" s="1"/>
  <c r="P9" i="44" s="1"/>
  <c r="AC8" i="44"/>
  <c r="AA9" i="44" s="1"/>
  <c r="O8" i="43"/>
  <c r="L9" i="43" s="1"/>
  <c r="P9" i="43" s="1"/>
  <c r="AC8" i="43"/>
  <c r="AA9" i="43" s="1"/>
  <c r="AB9" i="43" s="1"/>
  <c r="P8" i="43"/>
  <c r="L17" i="43"/>
  <c r="M17" i="43" s="1"/>
  <c r="H43" i="33" s="1"/>
  <c r="O17" i="50" l="1"/>
  <c r="J50" i="33" s="1"/>
  <c r="O17" i="49"/>
  <c r="J49" i="33" s="1"/>
  <c r="O17" i="47"/>
  <c r="J47" i="33" s="1"/>
  <c r="H47" i="33"/>
  <c r="O17" i="46"/>
  <c r="J46" i="33" s="1"/>
  <c r="H46" i="33"/>
  <c r="O17" i="43"/>
  <c r="J43" i="33" s="1"/>
  <c r="M9" i="50"/>
  <c r="O9" i="50" s="1"/>
  <c r="L10" i="50" s="1"/>
  <c r="P10" i="50" s="1"/>
  <c r="AD9" i="50"/>
  <c r="AB9" i="50"/>
  <c r="O8" i="49"/>
  <c r="L9" i="49" s="1"/>
  <c r="P9" i="49" s="1"/>
  <c r="AC9" i="49"/>
  <c r="AA10" i="49" s="1"/>
  <c r="AD10" i="49" s="1"/>
  <c r="M9" i="48"/>
  <c r="AD9" i="48"/>
  <c r="AB9" i="48"/>
  <c r="M9" i="47"/>
  <c r="AB9" i="47"/>
  <c r="AD9" i="46"/>
  <c r="M9" i="46"/>
  <c r="AB9" i="46"/>
  <c r="AC9" i="45"/>
  <c r="AA10" i="45" s="1"/>
  <c r="AD10" i="45" s="1"/>
  <c r="AD9" i="45"/>
  <c r="M9" i="45"/>
  <c r="AD9" i="44"/>
  <c r="AB9" i="44"/>
  <c r="M9" i="44"/>
  <c r="AD9" i="43"/>
  <c r="AC9" i="43"/>
  <c r="AA10" i="43" s="1"/>
  <c r="AD10" i="43" s="1"/>
  <c r="M9" i="43"/>
  <c r="M10" i="50" l="1"/>
  <c r="AC9" i="50"/>
  <c r="AA10" i="50" s="1"/>
  <c r="AB10" i="50" s="1"/>
  <c r="O10" i="50"/>
  <c r="L11" i="50" s="1"/>
  <c r="P11" i="50" s="1"/>
  <c r="AB10" i="49"/>
  <c r="M9" i="49"/>
  <c r="AC9" i="48"/>
  <c r="AA10" i="48" s="1"/>
  <c r="O9" i="48"/>
  <c r="L10" i="48" s="1"/>
  <c r="P10" i="48" s="1"/>
  <c r="M10" i="48"/>
  <c r="AC9" i="47"/>
  <c r="AA10" i="47" s="1"/>
  <c r="O9" i="47"/>
  <c r="L10" i="47" s="1"/>
  <c r="P10" i="47" s="1"/>
  <c r="AC9" i="46"/>
  <c r="AA10" i="46" s="1"/>
  <c r="O9" i="46"/>
  <c r="L10" i="46" s="1"/>
  <c r="P10" i="46" s="1"/>
  <c r="O9" i="45"/>
  <c r="L10" i="45" s="1"/>
  <c r="P10" i="45" s="1"/>
  <c r="M10" i="45"/>
  <c r="AB10" i="45"/>
  <c r="O9" i="44"/>
  <c r="L10" i="44" s="1"/>
  <c r="P10" i="44" s="1"/>
  <c r="M10" i="44"/>
  <c r="AC9" i="44"/>
  <c r="AA10" i="44" s="1"/>
  <c r="AB10" i="44" s="1"/>
  <c r="O9" i="43"/>
  <c r="L10" i="43" s="1"/>
  <c r="P10" i="43" s="1"/>
  <c r="M10" i="43"/>
  <c r="AB10" i="43"/>
  <c r="M11" i="50" l="1"/>
  <c r="AC10" i="50"/>
  <c r="AA11" i="50" s="1"/>
  <c r="AD11" i="50" s="1"/>
  <c r="O11" i="50"/>
  <c r="L12" i="50" s="1"/>
  <c r="M12" i="50" s="1"/>
  <c r="AD10" i="50"/>
  <c r="O9" i="49"/>
  <c r="L10" i="49" s="1"/>
  <c r="P10" i="49" s="1"/>
  <c r="M10" i="49"/>
  <c r="AC10" i="49"/>
  <c r="AA11" i="49" s="1"/>
  <c r="AD11" i="49" s="1"/>
  <c r="AB11" i="49"/>
  <c r="O10" i="48"/>
  <c r="L11" i="48" s="1"/>
  <c r="P11" i="48" s="1"/>
  <c r="AD10" i="48"/>
  <c r="AB10" i="48"/>
  <c r="M10" i="47"/>
  <c r="O10" i="47"/>
  <c r="L11" i="47" s="1"/>
  <c r="P11" i="47" s="1"/>
  <c r="AD10" i="47"/>
  <c r="AB10" i="47"/>
  <c r="M10" i="46"/>
  <c r="O10" i="46"/>
  <c r="L11" i="46" s="1"/>
  <c r="P11" i="46" s="1"/>
  <c r="AD10" i="46"/>
  <c r="AB10" i="46"/>
  <c r="AC10" i="45"/>
  <c r="AA11" i="45" s="1"/>
  <c r="AB11" i="45"/>
  <c r="O10" i="45"/>
  <c r="L11" i="45" s="1"/>
  <c r="P11" i="45" s="1"/>
  <c r="AC10" i="44"/>
  <c r="AA11" i="44" s="1"/>
  <c r="AD11" i="44" s="1"/>
  <c r="AB11" i="44"/>
  <c r="AD10" i="44"/>
  <c r="O10" i="44"/>
  <c r="L11" i="44" s="1"/>
  <c r="P11" i="44" s="1"/>
  <c r="AC10" i="43"/>
  <c r="AA11" i="43" s="1"/>
  <c r="O10" i="43"/>
  <c r="L11" i="43" s="1"/>
  <c r="P11" i="43" s="1"/>
  <c r="AB11" i="50" l="1"/>
  <c r="O12" i="50"/>
  <c r="AC11" i="50"/>
  <c r="AA12" i="50" s="1"/>
  <c r="AC11" i="49"/>
  <c r="AA12" i="49" s="1"/>
  <c r="AB12" i="49" s="1"/>
  <c r="O10" i="49"/>
  <c r="L11" i="49" s="1"/>
  <c r="P11" i="49" s="1"/>
  <c r="AC10" i="48"/>
  <c r="AA11" i="48" s="1"/>
  <c r="AB11" i="48" s="1"/>
  <c r="M11" i="48"/>
  <c r="M11" i="47"/>
  <c r="AC10" i="47"/>
  <c r="AA11" i="47" s="1"/>
  <c r="AD11" i="47" s="1"/>
  <c r="O11" i="47"/>
  <c r="L12" i="47" s="1"/>
  <c r="M12" i="47" s="1"/>
  <c r="M11" i="46"/>
  <c r="AC10" i="46"/>
  <c r="AA11" i="46" s="1"/>
  <c r="AB11" i="46" s="1"/>
  <c r="O11" i="46"/>
  <c r="L12" i="46" s="1"/>
  <c r="M12" i="46" s="1"/>
  <c r="M11" i="45"/>
  <c r="AC11" i="45"/>
  <c r="AA12" i="45" s="1"/>
  <c r="AB12" i="45" s="1"/>
  <c r="AD11" i="45"/>
  <c r="AC11" i="44"/>
  <c r="AA12" i="44" s="1"/>
  <c r="M11" i="44"/>
  <c r="M11" i="43"/>
  <c r="AD11" i="43"/>
  <c r="AB11" i="43"/>
  <c r="AB12" i="50" l="1"/>
  <c r="L13" i="50"/>
  <c r="M13" i="50" s="1"/>
  <c r="L14" i="50"/>
  <c r="P14" i="50" s="1"/>
  <c r="M11" i="49"/>
  <c r="O11" i="49" s="1"/>
  <c r="L12" i="49" s="1"/>
  <c r="M12" i="49" s="1"/>
  <c r="AC12" i="49"/>
  <c r="AA13" i="49" s="1"/>
  <c r="AB13" i="49" s="1"/>
  <c r="O11" i="48"/>
  <c r="L12" i="48" s="1"/>
  <c r="M12" i="48" s="1"/>
  <c r="AC11" i="48"/>
  <c r="AA12" i="48" s="1"/>
  <c r="AB12" i="48" s="1"/>
  <c r="AD11" i="48"/>
  <c r="AB11" i="47"/>
  <c r="O12" i="47"/>
  <c r="AC11" i="47"/>
  <c r="AA12" i="47" s="1"/>
  <c r="AB12" i="47" s="1"/>
  <c r="AC11" i="46"/>
  <c r="AA12" i="46" s="1"/>
  <c r="AB12" i="46" s="1"/>
  <c r="O12" i="46"/>
  <c r="AD11" i="46"/>
  <c r="AC12" i="45"/>
  <c r="AA13" i="45" s="1"/>
  <c r="O11" i="45"/>
  <c r="L12" i="45" s="1"/>
  <c r="M12" i="45" s="1"/>
  <c r="O11" i="44"/>
  <c r="L12" i="44" s="1"/>
  <c r="M12" i="44" s="1"/>
  <c r="AB12" i="44"/>
  <c r="AC11" i="43"/>
  <c r="AA12" i="43" s="1"/>
  <c r="AB12" i="43" s="1"/>
  <c r="O11" i="43"/>
  <c r="L12" i="43" s="1"/>
  <c r="M12" i="43" s="1"/>
  <c r="O13" i="50" l="1"/>
  <c r="M14" i="50"/>
  <c r="AC12" i="50"/>
  <c r="AA13" i="50" s="1"/>
  <c r="AB13" i="50" s="1"/>
  <c r="O12" i="49"/>
  <c r="AC13" i="49"/>
  <c r="AA14" i="49" s="1"/>
  <c r="AD14" i="49" s="1"/>
  <c r="O12" i="48"/>
  <c r="AC12" i="48"/>
  <c r="AA13" i="48" s="1"/>
  <c r="AB13" i="48" s="1"/>
  <c r="L14" i="47"/>
  <c r="P14" i="47" s="1"/>
  <c r="L13" i="47"/>
  <c r="M13" i="47" s="1"/>
  <c r="AC12" i="47"/>
  <c r="AA13" i="47" s="1"/>
  <c r="AB13" i="47" s="1"/>
  <c r="AC12" i="46"/>
  <c r="AA13" i="46" s="1"/>
  <c r="AB13" i="46" s="1"/>
  <c r="L13" i="46"/>
  <c r="M13" i="46" s="1"/>
  <c r="L14" i="46"/>
  <c r="P14" i="46" s="1"/>
  <c r="O12" i="45"/>
  <c r="AB13" i="45"/>
  <c r="O12" i="44"/>
  <c r="AC12" i="44"/>
  <c r="AA13" i="44" s="1"/>
  <c r="AB13" i="44" s="1"/>
  <c r="O12" i="43"/>
  <c r="AC12" i="43"/>
  <c r="AA13" i="43" s="1"/>
  <c r="AB13" i="43" s="1"/>
  <c r="AC13" i="50" l="1"/>
  <c r="AA14" i="50" s="1"/>
  <c r="AD14" i="50" s="1"/>
  <c r="O14" i="50"/>
  <c r="L15" i="50" s="1"/>
  <c r="P15" i="50" s="1"/>
  <c r="AB14" i="49"/>
  <c r="L14" i="49"/>
  <c r="P14" i="49" s="1"/>
  <c r="L13" i="49"/>
  <c r="M13" i="49" s="1"/>
  <c r="AC13" i="48"/>
  <c r="AA14" i="48" s="1"/>
  <c r="AD14" i="48" s="1"/>
  <c r="AB14" i="48"/>
  <c r="L14" i="48"/>
  <c r="P14" i="48" s="1"/>
  <c r="L13" i="48"/>
  <c r="M13" i="48" s="1"/>
  <c r="AC13" i="47"/>
  <c r="AA14" i="47" s="1"/>
  <c r="AD14" i="47" s="1"/>
  <c r="M14" i="47"/>
  <c r="O13" i="47"/>
  <c r="AC13" i="46"/>
  <c r="AA14" i="46" s="1"/>
  <c r="AD14" i="46" s="1"/>
  <c r="O13" i="46"/>
  <c r="M14" i="46"/>
  <c r="AC13" i="45"/>
  <c r="AA14" i="45" s="1"/>
  <c r="AD14" i="45" s="1"/>
  <c r="AB14" i="45"/>
  <c r="L14" i="45"/>
  <c r="P14" i="45" s="1"/>
  <c r="L13" i="45"/>
  <c r="M13" i="45" s="1"/>
  <c r="AC13" i="44"/>
  <c r="AA14" i="44" s="1"/>
  <c r="AD14" i="44" s="1"/>
  <c r="AB14" i="44"/>
  <c r="L13" i="44"/>
  <c r="M13" i="44" s="1"/>
  <c r="L14" i="44"/>
  <c r="P14" i="44" s="1"/>
  <c r="AC13" i="43"/>
  <c r="AA14" i="43" s="1"/>
  <c r="AD14" i="43" s="1"/>
  <c r="L14" i="43"/>
  <c r="P14" i="43" s="1"/>
  <c r="L13" i="43"/>
  <c r="M13" i="43" s="1"/>
  <c r="M15" i="50" l="1"/>
  <c r="O15" i="50" s="1"/>
  <c r="L16" i="50" s="1"/>
  <c r="P16" i="50" s="1"/>
  <c r="AB14" i="50"/>
  <c r="AC14" i="50"/>
  <c r="AA15" i="50" s="1"/>
  <c r="AD15" i="50" s="1"/>
  <c r="M14" i="49"/>
  <c r="O13" i="49"/>
  <c r="AC14" i="49"/>
  <c r="AA15" i="49" s="1"/>
  <c r="AD15" i="49" s="1"/>
  <c r="O13" i="48"/>
  <c r="M14" i="48"/>
  <c r="AC14" i="48"/>
  <c r="AA15" i="48" s="1"/>
  <c r="AD15" i="48" s="1"/>
  <c r="O14" i="47"/>
  <c r="L15" i="47" s="1"/>
  <c r="P15" i="47" s="1"/>
  <c r="AB14" i="47"/>
  <c r="O14" i="46"/>
  <c r="L15" i="46" s="1"/>
  <c r="P15" i="46" s="1"/>
  <c r="AB14" i="46"/>
  <c r="O13" i="45"/>
  <c r="M14" i="45"/>
  <c r="AC14" i="45"/>
  <c r="AA15" i="45" s="1"/>
  <c r="AD15" i="45" s="1"/>
  <c r="AB15" i="45"/>
  <c r="O13" i="44"/>
  <c r="M14" i="44"/>
  <c r="AC14" i="44"/>
  <c r="AA15" i="44" s="1"/>
  <c r="AD15" i="44" s="1"/>
  <c r="M14" i="43"/>
  <c r="O13" i="43"/>
  <c r="AB14" i="43"/>
  <c r="AB15" i="50" l="1"/>
  <c r="AC15" i="50"/>
  <c r="AA16" i="50" s="1"/>
  <c r="M16" i="50"/>
  <c r="O16" i="50" s="1"/>
  <c r="AB15" i="49"/>
  <c r="O14" i="49"/>
  <c r="L15" i="49" s="1"/>
  <c r="P15" i="49" s="1"/>
  <c r="M15" i="49"/>
  <c r="AB15" i="48"/>
  <c r="O14" i="48"/>
  <c r="L15" i="48" s="1"/>
  <c r="P15" i="48" s="1"/>
  <c r="AC14" i="47"/>
  <c r="AA15" i="47" s="1"/>
  <c r="AD15" i="47" s="1"/>
  <c r="M15" i="47"/>
  <c r="AC14" i="46"/>
  <c r="AA15" i="46" s="1"/>
  <c r="AD15" i="46" s="1"/>
  <c r="M15" i="46"/>
  <c r="AC15" i="45"/>
  <c r="AA16" i="45" s="1"/>
  <c r="O14" i="45"/>
  <c r="L15" i="45" s="1"/>
  <c r="P15" i="45" s="1"/>
  <c r="AB15" i="44"/>
  <c r="AC15" i="44" s="1"/>
  <c r="AA16" i="44" s="1"/>
  <c r="O14" i="44"/>
  <c r="L15" i="44" s="1"/>
  <c r="P15" i="44" s="1"/>
  <c r="AC14" i="43"/>
  <c r="AA15" i="43" s="1"/>
  <c r="AD15" i="43" s="1"/>
  <c r="O14" i="43"/>
  <c r="L15" i="43" s="1"/>
  <c r="P15" i="43" s="1"/>
  <c r="AD16" i="50" l="1"/>
  <c r="AA17" i="50"/>
  <c r="AB17" i="50" s="1"/>
  <c r="AC17" i="50" s="1"/>
  <c r="X50" i="33" s="1"/>
  <c r="AB16" i="50"/>
  <c r="AC16" i="50" s="1"/>
  <c r="O15" i="49"/>
  <c r="L16" i="49" s="1"/>
  <c r="P16" i="49" s="1"/>
  <c r="AC15" i="49"/>
  <c r="AA16" i="49" s="1"/>
  <c r="AB16" i="49" s="1"/>
  <c r="AC16" i="49" s="1"/>
  <c r="M15" i="48"/>
  <c r="AC15" i="48"/>
  <c r="AA16" i="48" s="1"/>
  <c r="O15" i="47"/>
  <c r="L16" i="47" s="1"/>
  <c r="P16" i="47" s="1"/>
  <c r="AB15" i="47"/>
  <c r="AB15" i="46"/>
  <c r="O15" i="46"/>
  <c r="L16" i="46" s="1"/>
  <c r="P16" i="46" s="1"/>
  <c r="AC15" i="46"/>
  <c r="AA16" i="46" s="1"/>
  <c r="M15" i="45"/>
  <c r="AD16" i="45"/>
  <c r="AA17" i="45"/>
  <c r="AB17" i="45" s="1"/>
  <c r="AC17" i="45" s="1"/>
  <c r="X45" i="33" s="1"/>
  <c r="AB16" i="45"/>
  <c r="AC16" i="45" s="1"/>
  <c r="M15" i="44"/>
  <c r="AD16" i="44"/>
  <c r="AA17" i="44"/>
  <c r="AB17" i="44" s="1"/>
  <c r="AC17" i="44" s="1"/>
  <c r="X44" i="33" s="1"/>
  <c r="AB16" i="44"/>
  <c r="AC16" i="44" s="1"/>
  <c r="M15" i="43"/>
  <c r="O15" i="43" s="1"/>
  <c r="L16" i="43" s="1"/>
  <c r="AB15" i="43"/>
  <c r="AD16" i="49" l="1"/>
  <c r="AA17" i="49"/>
  <c r="AB17" i="49" s="1"/>
  <c r="AC17" i="49" s="1"/>
  <c r="X49" i="33" s="1"/>
  <c r="M16" i="49"/>
  <c r="O16" i="49" s="1"/>
  <c r="AD16" i="48"/>
  <c r="AA17" i="48"/>
  <c r="AB17" i="48" s="1"/>
  <c r="AC17" i="48" s="1"/>
  <c r="X48" i="33" s="1"/>
  <c r="AB16" i="48"/>
  <c r="AC16" i="48" s="1"/>
  <c r="O15" i="48"/>
  <c r="L16" i="48" s="1"/>
  <c r="P16" i="48" s="1"/>
  <c r="M16" i="48"/>
  <c r="O16" i="48" s="1"/>
  <c r="M16" i="47"/>
  <c r="O16" i="47" s="1"/>
  <c r="AC15" i="47"/>
  <c r="AA16" i="47" s="1"/>
  <c r="M16" i="46"/>
  <c r="O16" i="46" s="1"/>
  <c r="AD16" i="46"/>
  <c r="AA17" i="46"/>
  <c r="AB17" i="46" s="1"/>
  <c r="AC17" i="46" s="1"/>
  <c r="X46" i="33" s="1"/>
  <c r="AB16" i="46"/>
  <c r="AC16" i="46" s="1"/>
  <c r="O15" i="45"/>
  <c r="L16" i="45" s="1"/>
  <c r="P16" i="45" s="1"/>
  <c r="O15" i="44"/>
  <c r="L16" i="44" s="1"/>
  <c r="P16" i="44" s="1"/>
  <c r="M16" i="44"/>
  <c r="O16" i="44" s="1"/>
  <c r="P16" i="43"/>
  <c r="M16" i="43"/>
  <c r="O16" i="43" s="1"/>
  <c r="AC15" i="43"/>
  <c r="AA16" i="43" s="1"/>
  <c r="AB16" i="43"/>
  <c r="AC16" i="43" s="1"/>
  <c r="AD16" i="47" l="1"/>
  <c r="AA17" i="47"/>
  <c r="AB17" i="47" s="1"/>
  <c r="AC17" i="47" s="1"/>
  <c r="X47" i="33" s="1"/>
  <c r="AB16" i="47"/>
  <c r="AC16" i="47" s="1"/>
  <c r="M16" i="45"/>
  <c r="O16" i="45" s="1"/>
  <c r="AD16" i="43"/>
  <c r="AA17" i="43"/>
  <c r="AB17" i="43" s="1"/>
  <c r="AC17" i="43" s="1"/>
  <c r="X43" i="33" s="1"/>
  <c r="Y17" i="42" l="1"/>
  <c r="W17" i="42"/>
  <c r="V17" i="42"/>
  <c r="S17" i="42"/>
  <c r="R17" i="42"/>
  <c r="K17" i="42"/>
  <c r="X16" i="42"/>
  <c r="Z16" i="42" s="1"/>
  <c r="T16" i="42"/>
  <c r="U16" i="42" s="1"/>
  <c r="J16" i="42"/>
  <c r="G16" i="42"/>
  <c r="X15" i="42"/>
  <c r="Z15" i="42" s="1"/>
  <c r="T15" i="42"/>
  <c r="U15" i="42" s="1"/>
  <c r="G15" i="42"/>
  <c r="X14" i="42"/>
  <c r="Z14" i="42" s="1"/>
  <c r="T14" i="42"/>
  <c r="U14" i="42" s="1"/>
  <c r="J14" i="42"/>
  <c r="G14" i="42"/>
  <c r="X13" i="42"/>
  <c r="U13" i="42"/>
  <c r="T13" i="42"/>
  <c r="G13" i="42"/>
  <c r="X12" i="42"/>
  <c r="T12" i="42"/>
  <c r="T17" i="42" s="1"/>
  <c r="G12" i="42"/>
  <c r="X11" i="42"/>
  <c r="Z11" i="42" s="1"/>
  <c r="T11" i="42"/>
  <c r="U11" i="42" s="1"/>
  <c r="J11" i="42"/>
  <c r="G11" i="42"/>
  <c r="Z10" i="42"/>
  <c r="X10" i="42"/>
  <c r="T10" i="42"/>
  <c r="U10" i="42" s="1"/>
  <c r="J10" i="42"/>
  <c r="G10" i="42" s="1"/>
  <c r="X9" i="42"/>
  <c r="Z9" i="42" s="1"/>
  <c r="U9" i="42"/>
  <c r="J9" i="42"/>
  <c r="G9" i="42" s="1"/>
  <c r="AA8" i="42"/>
  <c r="Z8" i="42"/>
  <c r="X8" i="42"/>
  <c r="X17" i="42" s="1"/>
  <c r="T8" i="42"/>
  <c r="U8" i="42" s="1"/>
  <c r="J8" i="42"/>
  <c r="G8" i="42"/>
  <c r="B8" i="42"/>
  <c r="A8" i="42"/>
  <c r="A9" i="42" s="1"/>
  <c r="A10" i="42" s="1"/>
  <c r="A11" i="42" s="1"/>
  <c r="A12" i="42" s="1"/>
  <c r="A13" i="42" s="1"/>
  <c r="A14" i="42" s="1"/>
  <c r="A15" i="42" s="1"/>
  <c r="A16" i="42" s="1"/>
  <c r="AB7" i="42"/>
  <c r="U7" i="42"/>
  <c r="T7" i="42"/>
  <c r="P7" i="42"/>
  <c r="N7" i="42"/>
  <c r="N8" i="42" s="1"/>
  <c r="N9" i="42" s="1"/>
  <c r="N10" i="42" s="1"/>
  <c r="N11" i="42" s="1"/>
  <c r="N12" i="42" s="1"/>
  <c r="N13" i="42" s="1"/>
  <c r="N14" i="42" s="1"/>
  <c r="N15" i="42" s="1"/>
  <c r="N16" i="42" s="1"/>
  <c r="M7" i="42"/>
  <c r="G7" i="42"/>
  <c r="Y17" i="41"/>
  <c r="W17" i="41"/>
  <c r="V17" i="41"/>
  <c r="S17" i="41"/>
  <c r="R17" i="41"/>
  <c r="K17" i="41"/>
  <c r="X16" i="41"/>
  <c r="Z16" i="41" s="1"/>
  <c r="T16" i="41"/>
  <c r="U16" i="41" s="1"/>
  <c r="J16" i="41"/>
  <c r="G16" i="41"/>
  <c r="X15" i="41"/>
  <c r="Z15" i="41" s="1"/>
  <c r="T15" i="41"/>
  <c r="U15" i="41" s="1"/>
  <c r="G15" i="41"/>
  <c r="X14" i="41"/>
  <c r="Z14" i="41" s="1"/>
  <c r="T14" i="41"/>
  <c r="U14" i="41" s="1"/>
  <c r="J14" i="41"/>
  <c r="G14" i="41"/>
  <c r="X13" i="41"/>
  <c r="U13" i="41"/>
  <c r="T13" i="41"/>
  <c r="G13" i="41"/>
  <c r="X12" i="41"/>
  <c r="T12" i="41"/>
  <c r="T17" i="41" s="1"/>
  <c r="G12" i="41"/>
  <c r="X11" i="41"/>
  <c r="Z11" i="41" s="1"/>
  <c r="T11" i="41"/>
  <c r="U11" i="41" s="1"/>
  <c r="J11" i="41"/>
  <c r="G11" i="41"/>
  <c r="Z10" i="41"/>
  <c r="X10" i="41"/>
  <c r="T10" i="41"/>
  <c r="U10" i="41" s="1"/>
  <c r="J10" i="41"/>
  <c r="G10" i="41"/>
  <c r="X9" i="41"/>
  <c r="Z9" i="41" s="1"/>
  <c r="U9" i="41"/>
  <c r="J9" i="41"/>
  <c r="G9" i="41" s="1"/>
  <c r="AA8" i="41"/>
  <c r="Z8" i="41"/>
  <c r="X8" i="41"/>
  <c r="T8" i="41"/>
  <c r="U8" i="41" s="1"/>
  <c r="J8" i="41"/>
  <c r="G8" i="41"/>
  <c r="B8" i="41"/>
  <c r="A8" i="41"/>
  <c r="A9" i="41" s="1"/>
  <c r="A10" i="41" s="1"/>
  <c r="A11" i="41" s="1"/>
  <c r="A12" i="41" s="1"/>
  <c r="A13" i="41" s="1"/>
  <c r="A14" i="41" s="1"/>
  <c r="A15" i="41" s="1"/>
  <c r="A16" i="41" s="1"/>
  <c r="AB7" i="41"/>
  <c r="U7" i="41"/>
  <c r="T7" i="41"/>
  <c r="P7" i="41"/>
  <c r="N7" i="41"/>
  <c r="N8" i="41" s="1"/>
  <c r="N9" i="41" s="1"/>
  <c r="N10" i="41" s="1"/>
  <c r="N11" i="41" s="1"/>
  <c r="N12" i="41" s="1"/>
  <c r="N13" i="41" s="1"/>
  <c r="N14" i="41" s="1"/>
  <c r="N15" i="41" s="1"/>
  <c r="N16" i="41" s="1"/>
  <c r="M7" i="41"/>
  <c r="G7" i="41"/>
  <c r="B8" i="40"/>
  <c r="Y17" i="40"/>
  <c r="W17" i="40"/>
  <c r="V17" i="40"/>
  <c r="S17" i="40"/>
  <c r="R17" i="40"/>
  <c r="K17" i="40"/>
  <c r="X16" i="40"/>
  <c r="Z16" i="40" s="1"/>
  <c r="U16" i="40"/>
  <c r="T16" i="40"/>
  <c r="J16" i="40"/>
  <c r="G16" i="40"/>
  <c r="X15" i="40"/>
  <c r="Z15" i="40" s="1"/>
  <c r="T15" i="40"/>
  <c r="U15" i="40" s="1"/>
  <c r="G15" i="40"/>
  <c r="X14" i="40"/>
  <c r="Z14" i="40" s="1"/>
  <c r="T14" i="40"/>
  <c r="U14" i="40" s="1"/>
  <c r="J14" i="40"/>
  <c r="G14" i="40"/>
  <c r="X13" i="40"/>
  <c r="T13" i="40"/>
  <c r="U13" i="40" s="1"/>
  <c r="G13" i="40"/>
  <c r="X12" i="40"/>
  <c r="T12" i="40"/>
  <c r="U12" i="40" s="1"/>
  <c r="G12" i="40"/>
  <c r="X11" i="40"/>
  <c r="Z11" i="40" s="1"/>
  <c r="T11" i="40"/>
  <c r="U11" i="40" s="1"/>
  <c r="J11" i="40"/>
  <c r="G11" i="40"/>
  <c r="X10" i="40"/>
  <c r="Z10" i="40" s="1"/>
  <c r="U10" i="40"/>
  <c r="T10" i="40"/>
  <c r="J10" i="40"/>
  <c r="G10" i="40"/>
  <c r="X9" i="40"/>
  <c r="X17" i="40" s="1"/>
  <c r="U9" i="40"/>
  <c r="J9" i="40"/>
  <c r="G9" i="40"/>
  <c r="AA8" i="40"/>
  <c r="Z8" i="40"/>
  <c r="X8" i="40"/>
  <c r="T8" i="40"/>
  <c r="U8" i="40" s="1"/>
  <c r="N8" i="40"/>
  <c r="N9" i="40" s="1"/>
  <c r="N10" i="40" s="1"/>
  <c r="N11" i="40" s="1"/>
  <c r="N12" i="40" s="1"/>
  <c r="N13" i="40" s="1"/>
  <c r="N14" i="40" s="1"/>
  <c r="N15" i="40" s="1"/>
  <c r="N16" i="40" s="1"/>
  <c r="J8" i="40"/>
  <c r="G8" i="40"/>
  <c r="A8" i="40"/>
  <c r="A9" i="40" s="1"/>
  <c r="A10" i="40" s="1"/>
  <c r="A11" i="40" s="1"/>
  <c r="A12" i="40" s="1"/>
  <c r="A13" i="40" s="1"/>
  <c r="A14" i="40" s="1"/>
  <c r="A15" i="40" s="1"/>
  <c r="A16" i="40" s="1"/>
  <c r="AB7" i="40"/>
  <c r="U7" i="40" s="1"/>
  <c r="T7" i="40"/>
  <c r="P7" i="40"/>
  <c r="N7" i="40"/>
  <c r="M7" i="40"/>
  <c r="G7" i="40"/>
  <c r="G7" i="39"/>
  <c r="Y17" i="39"/>
  <c r="W17" i="39"/>
  <c r="S17" i="39"/>
  <c r="R17" i="39"/>
  <c r="K17" i="39"/>
  <c r="Z16" i="39"/>
  <c r="X16" i="39"/>
  <c r="T16" i="39"/>
  <c r="U16" i="39" s="1"/>
  <c r="J16" i="39"/>
  <c r="G16" i="39"/>
  <c r="X15" i="39"/>
  <c r="Z15" i="39" s="1"/>
  <c r="T15" i="39"/>
  <c r="U15" i="39" s="1"/>
  <c r="G15" i="39"/>
  <c r="X14" i="39"/>
  <c r="Z14" i="39" s="1"/>
  <c r="T14" i="39"/>
  <c r="U14" i="39" s="1"/>
  <c r="J14" i="39"/>
  <c r="G14" i="39"/>
  <c r="X13" i="39"/>
  <c r="T13" i="39"/>
  <c r="U13" i="39" s="1"/>
  <c r="G13" i="39"/>
  <c r="X12" i="39"/>
  <c r="T12" i="39"/>
  <c r="U12" i="39" s="1"/>
  <c r="G12" i="39"/>
  <c r="X11" i="39"/>
  <c r="Z11" i="39" s="1"/>
  <c r="T11" i="39"/>
  <c r="U11" i="39" s="1"/>
  <c r="J11" i="39"/>
  <c r="G11" i="39"/>
  <c r="X10" i="39"/>
  <c r="Z10" i="39" s="1"/>
  <c r="T10" i="39"/>
  <c r="U10" i="39" s="1"/>
  <c r="J10" i="39"/>
  <c r="G10" i="39" s="1"/>
  <c r="X9" i="39"/>
  <c r="Z9" i="39" s="1"/>
  <c r="U9" i="39"/>
  <c r="J9" i="39"/>
  <c r="G9" i="39"/>
  <c r="AA8" i="39"/>
  <c r="X8" i="39"/>
  <c r="V17" i="39"/>
  <c r="T8" i="39"/>
  <c r="U8" i="39" s="1"/>
  <c r="J8" i="39"/>
  <c r="G8" i="39"/>
  <c r="A8" i="39"/>
  <c r="A9" i="39" s="1"/>
  <c r="A10" i="39" s="1"/>
  <c r="A11" i="39" s="1"/>
  <c r="A12" i="39" s="1"/>
  <c r="A13" i="39" s="1"/>
  <c r="A14" i="39" s="1"/>
  <c r="A15" i="39" s="1"/>
  <c r="A16" i="39" s="1"/>
  <c r="AB7" i="39"/>
  <c r="U7" i="39" s="1"/>
  <c r="T7" i="39"/>
  <c r="P7" i="39"/>
  <c r="N7" i="39"/>
  <c r="N8" i="39" s="1"/>
  <c r="N9" i="39" s="1"/>
  <c r="N10" i="39" s="1"/>
  <c r="N11" i="39" s="1"/>
  <c r="N12" i="39" s="1"/>
  <c r="N13" i="39" s="1"/>
  <c r="N14" i="39" s="1"/>
  <c r="N15" i="39" s="1"/>
  <c r="N16" i="39" s="1"/>
  <c r="M7" i="39"/>
  <c r="C39" i="33"/>
  <c r="V15" i="14"/>
  <c r="X15" i="14" s="1"/>
  <c r="Z15" i="14" s="1"/>
  <c r="V14" i="14"/>
  <c r="X14" i="14" s="1"/>
  <c r="Z14" i="14" s="1"/>
  <c r="U15" i="14"/>
  <c r="T15" i="14"/>
  <c r="J15" i="14"/>
  <c r="G15" i="14" s="1"/>
  <c r="T14" i="14"/>
  <c r="U14" i="14" s="1"/>
  <c r="J14" i="14"/>
  <c r="G14" i="14" s="1"/>
  <c r="V12" i="20"/>
  <c r="X12" i="20" s="1"/>
  <c r="Z12" i="20" s="1"/>
  <c r="T12" i="20"/>
  <c r="U12" i="20" s="1"/>
  <c r="N12" i="20"/>
  <c r="L12" i="20"/>
  <c r="M12" i="20" s="1"/>
  <c r="O12" i="20" s="1"/>
  <c r="J12" i="20"/>
  <c r="G12" i="20" s="1"/>
  <c r="V11" i="20"/>
  <c r="X11" i="20" s="1"/>
  <c r="Z11" i="20" s="1"/>
  <c r="AA11" i="20"/>
  <c r="T11" i="20"/>
  <c r="U11" i="20" s="1"/>
  <c r="AB11" i="20" s="1"/>
  <c r="N11" i="20"/>
  <c r="L11" i="20"/>
  <c r="M11" i="20" s="1"/>
  <c r="O11" i="20" s="1"/>
  <c r="J11" i="20"/>
  <c r="G11" i="20" s="1"/>
  <c r="V9" i="4"/>
  <c r="Y8" i="9"/>
  <c r="V11" i="14"/>
  <c r="C37" i="33"/>
  <c r="AD11" i="38"/>
  <c r="Y11" i="38"/>
  <c r="W11" i="38"/>
  <c r="V11" i="38"/>
  <c r="S11" i="38"/>
  <c r="Z10" i="38"/>
  <c r="X10" i="38"/>
  <c r="T10" i="38"/>
  <c r="U10" i="38" s="1"/>
  <c r="J10" i="38"/>
  <c r="G10" i="38"/>
  <c r="X9" i="38"/>
  <c r="Z9" i="38" s="1"/>
  <c r="T9" i="38"/>
  <c r="U9" i="38" s="1"/>
  <c r="J9" i="38"/>
  <c r="G9" i="38"/>
  <c r="AA8" i="38"/>
  <c r="X8" i="38"/>
  <c r="X11" i="38" s="1"/>
  <c r="R11" i="38"/>
  <c r="J8" i="38"/>
  <c r="G8" i="38"/>
  <c r="A8" i="38"/>
  <c r="A9" i="38" s="1"/>
  <c r="A10" i="38" s="1"/>
  <c r="AB7" i="38"/>
  <c r="U7" i="38" s="1"/>
  <c r="T7" i="38"/>
  <c r="P7" i="38"/>
  <c r="N7" i="38"/>
  <c r="N8" i="38" s="1"/>
  <c r="N9" i="38" s="1"/>
  <c r="N10" i="38" s="1"/>
  <c r="H7" i="38"/>
  <c r="M7" i="38" s="1"/>
  <c r="J9" i="20"/>
  <c r="I17" i="40"/>
  <c r="F17" i="41"/>
  <c r="F17" i="39"/>
  <c r="F17" i="42"/>
  <c r="H17" i="41"/>
  <c r="K11" i="38"/>
  <c r="H17" i="40"/>
  <c r="F11" i="38"/>
  <c r="H11" i="38"/>
  <c r="I17" i="42"/>
  <c r="I17" i="41"/>
  <c r="H17" i="42"/>
  <c r="I17" i="39"/>
  <c r="I11" i="38"/>
  <c r="H17" i="39"/>
  <c r="F17" i="40"/>
  <c r="D42" i="33" l="1"/>
  <c r="F42" i="33"/>
  <c r="E42" i="33"/>
  <c r="D41" i="33"/>
  <c r="F41" i="33"/>
  <c r="E41" i="33"/>
  <c r="F40" i="33"/>
  <c r="E40" i="33"/>
  <c r="D40" i="33"/>
  <c r="D39" i="33"/>
  <c r="F39" i="33"/>
  <c r="E39" i="33"/>
  <c r="O7" i="42"/>
  <c r="L8" i="42" s="1"/>
  <c r="P8" i="42" s="1"/>
  <c r="J17" i="42"/>
  <c r="N17" i="42"/>
  <c r="I42" i="33" s="1"/>
  <c r="U17" i="42"/>
  <c r="AB8" i="42"/>
  <c r="AD8" i="42"/>
  <c r="U12" i="42"/>
  <c r="O7" i="41"/>
  <c r="L8" i="41" s="1"/>
  <c r="P8" i="41" s="1"/>
  <c r="N17" i="41"/>
  <c r="I41" i="33" s="1"/>
  <c r="J17" i="41"/>
  <c r="AB8" i="41"/>
  <c r="U17" i="41"/>
  <c r="U12" i="41"/>
  <c r="X17" i="41"/>
  <c r="AD8" i="41"/>
  <c r="O7" i="40"/>
  <c r="L8" i="40" s="1"/>
  <c r="P8" i="40" s="1"/>
  <c r="N17" i="40"/>
  <c r="I40" i="33" s="1"/>
  <c r="L17" i="40"/>
  <c r="M17" i="40" s="1"/>
  <c r="H40" i="33" s="1"/>
  <c r="U17" i="40"/>
  <c r="J17" i="40"/>
  <c r="T17" i="40"/>
  <c r="AB8" i="40"/>
  <c r="AD8" i="40"/>
  <c r="Z9" i="40"/>
  <c r="M8" i="40"/>
  <c r="AB8" i="39"/>
  <c r="N17" i="39"/>
  <c r="I39" i="33" s="1"/>
  <c r="J17" i="39"/>
  <c r="O7" i="39"/>
  <c r="L8" i="39" s="1"/>
  <c r="M8" i="39" s="1"/>
  <c r="X17" i="39"/>
  <c r="Z8" i="39"/>
  <c r="T17" i="39"/>
  <c r="U17" i="39"/>
  <c r="AC8" i="39"/>
  <c r="AA9" i="39" s="1"/>
  <c r="AD9" i="39" s="1"/>
  <c r="AD11" i="20"/>
  <c r="P12" i="20"/>
  <c r="AA12" i="20"/>
  <c r="AB12" i="20" s="1"/>
  <c r="P11" i="20"/>
  <c r="G37" i="33"/>
  <c r="F37" i="33"/>
  <c r="E37" i="33"/>
  <c r="D37" i="33"/>
  <c r="M11" i="38"/>
  <c r="H37" i="33" s="1"/>
  <c r="N11" i="38"/>
  <c r="I37" i="33" s="1"/>
  <c r="J11" i="38"/>
  <c r="O7" i="38"/>
  <c r="L8" i="38" s="1"/>
  <c r="P8" i="38" s="1"/>
  <c r="M8" i="38"/>
  <c r="T8" i="38"/>
  <c r="U8" i="38" s="1"/>
  <c r="U11" i="38" s="1"/>
  <c r="Z8" i="38"/>
  <c r="J8" i="14"/>
  <c r="L10" i="5"/>
  <c r="L9" i="5"/>
  <c r="I16" i="38"/>
  <c r="K16" i="38"/>
  <c r="N16" i="38" l="1"/>
  <c r="O16" i="38" s="1"/>
  <c r="M8" i="42"/>
  <c r="O8" i="42" s="1"/>
  <c r="L9" i="42" s="1"/>
  <c r="P9" i="42" s="1"/>
  <c r="L17" i="42"/>
  <c r="M17" i="42" s="1"/>
  <c r="H42" i="33" s="1"/>
  <c r="AC8" i="42"/>
  <c r="AA9" i="42" s="1"/>
  <c r="AB9" i="42" s="1"/>
  <c r="M8" i="41"/>
  <c r="L17" i="41"/>
  <c r="M17" i="41" s="1"/>
  <c r="H41" i="33" s="1"/>
  <c r="O8" i="41"/>
  <c r="L9" i="41" s="1"/>
  <c r="P9" i="41" s="1"/>
  <c r="AC8" i="41"/>
  <c r="AA9" i="41" s="1"/>
  <c r="O17" i="40"/>
  <c r="J40" i="33" s="1"/>
  <c r="O8" i="40"/>
  <c r="L9" i="40" s="1"/>
  <c r="P9" i="40" s="1"/>
  <c r="AC8" i="40"/>
  <c r="AA9" i="40" s="1"/>
  <c r="AD8" i="39"/>
  <c r="O8" i="39"/>
  <c r="L9" i="39" s="1"/>
  <c r="P9" i="39" s="1"/>
  <c r="P8" i="39"/>
  <c r="L17" i="39"/>
  <c r="M17" i="39" s="1"/>
  <c r="AB9" i="39"/>
  <c r="AD12" i="20"/>
  <c r="O11" i="38"/>
  <c r="J37" i="33" s="1"/>
  <c r="O8" i="38"/>
  <c r="L9" i="38" s="1"/>
  <c r="P9" i="38" s="1"/>
  <c r="AB8" i="38"/>
  <c r="T11" i="38"/>
  <c r="Z11" i="38"/>
  <c r="AD8" i="38"/>
  <c r="O17" i="42" l="1"/>
  <c r="J42" i="33" s="1"/>
  <c r="O17" i="41"/>
  <c r="J41" i="33" s="1"/>
  <c r="O17" i="39"/>
  <c r="J39" i="33" s="1"/>
  <c r="H39" i="33"/>
  <c r="M9" i="42"/>
  <c r="O9" i="42"/>
  <c r="L10" i="42" s="1"/>
  <c r="P10" i="42" s="1"/>
  <c r="AD9" i="42"/>
  <c r="AC9" i="42"/>
  <c r="AA10" i="42" s="1"/>
  <c r="AD10" i="42" s="1"/>
  <c r="AD9" i="41"/>
  <c r="AB9" i="41"/>
  <c r="M9" i="41"/>
  <c r="AB9" i="40"/>
  <c r="AD9" i="40"/>
  <c r="M9" i="40"/>
  <c r="M9" i="39"/>
  <c r="AC9" i="39"/>
  <c r="AA10" i="39" s="1"/>
  <c r="AC8" i="38"/>
  <c r="AA9" i="38" s="1"/>
  <c r="M9" i="38"/>
  <c r="AB10" i="42" l="1"/>
  <c r="M10" i="42"/>
  <c r="O9" i="41"/>
  <c r="L10" i="41" s="1"/>
  <c r="P10" i="41" s="1"/>
  <c r="AC9" i="41"/>
  <c r="AA10" i="41" s="1"/>
  <c r="O9" i="40"/>
  <c r="L10" i="40" s="1"/>
  <c r="P10" i="40" s="1"/>
  <c r="AC9" i="40"/>
  <c r="AA10" i="40" s="1"/>
  <c r="AD10" i="39"/>
  <c r="AB10" i="39"/>
  <c r="O9" i="39"/>
  <c r="L10" i="39" s="1"/>
  <c r="P10" i="39" s="1"/>
  <c r="O9" i="38"/>
  <c r="L10" i="38" s="1"/>
  <c r="P10" i="38" s="1"/>
  <c r="AD9" i="38"/>
  <c r="AB9" i="38"/>
  <c r="P11" i="38"/>
  <c r="O10" i="42" l="1"/>
  <c r="L11" i="42" s="1"/>
  <c r="P11" i="42" s="1"/>
  <c r="AC10" i="42"/>
  <c r="AA11" i="42" s="1"/>
  <c r="M10" i="41"/>
  <c r="O10" i="41" s="1"/>
  <c r="L11" i="41" s="1"/>
  <c r="P11" i="41" s="1"/>
  <c r="AD10" i="41"/>
  <c r="AB10" i="41"/>
  <c r="AD10" i="40"/>
  <c r="AB10" i="40"/>
  <c r="M10" i="40"/>
  <c r="M10" i="39"/>
  <c r="AC10" i="39"/>
  <c r="AA11" i="39" s="1"/>
  <c r="K37" i="33"/>
  <c r="AC9" i="38"/>
  <c r="AA10" i="38" s="1"/>
  <c r="M10" i="38"/>
  <c r="O10" i="38" s="1"/>
  <c r="AD11" i="42" l="1"/>
  <c r="AB11" i="42"/>
  <c r="M11" i="42"/>
  <c r="M11" i="41"/>
  <c r="O11" i="41" s="1"/>
  <c r="L12" i="41" s="1"/>
  <c r="M12" i="41" s="1"/>
  <c r="AC10" i="41"/>
  <c r="AA11" i="41" s="1"/>
  <c r="AB11" i="41"/>
  <c r="O10" i="40"/>
  <c r="L11" i="40" s="1"/>
  <c r="P11" i="40" s="1"/>
  <c r="AC10" i="40"/>
  <c r="AA11" i="40" s="1"/>
  <c r="AD11" i="40" s="1"/>
  <c r="AD11" i="39"/>
  <c r="AB11" i="39"/>
  <c r="O10" i="39"/>
  <c r="L11" i="39" s="1"/>
  <c r="P11" i="39" s="1"/>
  <c r="AD10" i="38"/>
  <c r="AA11" i="38"/>
  <c r="AB11" i="38" s="1"/>
  <c r="AC11" i="38" s="1"/>
  <c r="AB10" i="38"/>
  <c r="AC10" i="38" s="1"/>
  <c r="AC11" i="42" l="1"/>
  <c r="AA12" i="42" s="1"/>
  <c r="AB12" i="42" s="1"/>
  <c r="O11" i="42"/>
  <c r="L12" i="42" s="1"/>
  <c r="M12" i="42" s="1"/>
  <c r="O12" i="41"/>
  <c r="AC11" i="41"/>
  <c r="AA12" i="41" s="1"/>
  <c r="AB12" i="41" s="1"/>
  <c r="AD11" i="41"/>
  <c r="AB11" i="40"/>
  <c r="M11" i="40"/>
  <c r="M11" i="39"/>
  <c r="AC11" i="39"/>
  <c r="AA12" i="39" s="1"/>
  <c r="K19" i="33"/>
  <c r="G19" i="33"/>
  <c r="C9" i="33"/>
  <c r="C10" i="33"/>
  <c r="C12" i="33"/>
  <c r="C18" i="33"/>
  <c r="C23" i="33"/>
  <c r="C13" i="33"/>
  <c r="C27" i="33"/>
  <c r="C14" i="33"/>
  <c r="C32" i="33"/>
  <c r="C19" i="33"/>
  <c r="C15" i="33"/>
  <c r="C33" i="33"/>
  <c r="C28" i="33"/>
  <c r="C34" i="33"/>
  <c r="C29" i="33"/>
  <c r="C20" i="33"/>
  <c r="C38" i="33"/>
  <c r="C35" i="33"/>
  <c r="C5" i="33"/>
  <c r="C22" i="33"/>
  <c r="C7" i="33"/>
  <c r="C21" i="33"/>
  <c r="C11" i="33"/>
  <c r="C24" i="33"/>
  <c r="C25" i="33"/>
  <c r="C8" i="33"/>
  <c r="C16" i="33"/>
  <c r="C17" i="33"/>
  <c r="C26" i="33"/>
  <c r="C30" i="33"/>
  <c r="C31" i="33"/>
  <c r="C6" i="33"/>
  <c r="O12" i="42" l="1"/>
  <c r="AC12" i="42"/>
  <c r="AA13" i="42" s="1"/>
  <c r="AB13" i="42" s="1"/>
  <c r="AC12" i="41"/>
  <c r="AA13" i="41" s="1"/>
  <c r="AB13" i="41" s="1"/>
  <c r="L13" i="41"/>
  <c r="M13" i="41" s="1"/>
  <c r="L14" i="41"/>
  <c r="P14" i="41" s="1"/>
  <c r="AC11" i="40"/>
  <c r="AA12" i="40" s="1"/>
  <c r="AB12" i="40" s="1"/>
  <c r="O11" i="40"/>
  <c r="L12" i="40" s="1"/>
  <c r="M12" i="40" s="1"/>
  <c r="AB12" i="39"/>
  <c r="O11" i="39"/>
  <c r="L12" i="39" s="1"/>
  <c r="M12" i="39" s="1"/>
  <c r="Y17" i="34"/>
  <c r="T31" i="33" s="1"/>
  <c r="Y9" i="7"/>
  <c r="T38" i="33" s="1"/>
  <c r="W9" i="7"/>
  <c r="R38" i="33" s="1"/>
  <c r="S9" i="7"/>
  <c r="N38" i="33" s="1"/>
  <c r="R9" i="7"/>
  <c r="M38" i="33" s="1"/>
  <c r="Y10" i="4"/>
  <c r="T34" i="33" s="1"/>
  <c r="W10" i="4"/>
  <c r="R34" i="33" s="1"/>
  <c r="S10" i="4"/>
  <c r="N34" i="33" s="1"/>
  <c r="R10" i="4"/>
  <c r="M34" i="33" s="1"/>
  <c r="S9" i="27"/>
  <c r="N23" i="33" s="1"/>
  <c r="R9" i="27"/>
  <c r="M23" i="33" s="1"/>
  <c r="Y14" i="1"/>
  <c r="W14" i="1"/>
  <c r="R33" i="33" s="1"/>
  <c r="S14" i="1"/>
  <c r="N33" i="33" s="1"/>
  <c r="O35" i="33"/>
  <c r="N35" i="33"/>
  <c r="T33" i="33"/>
  <c r="AD11" i="32"/>
  <c r="Y4" i="33" s="1"/>
  <c r="H11" i="33"/>
  <c r="H35" i="33"/>
  <c r="AC13" i="42" l="1"/>
  <c r="AA14" i="42" s="1"/>
  <c r="AD14" i="42" s="1"/>
  <c r="L14" i="42"/>
  <c r="P14" i="42" s="1"/>
  <c r="L13" i="42"/>
  <c r="M13" i="42" s="1"/>
  <c r="AC13" i="41"/>
  <c r="AA14" i="41" s="1"/>
  <c r="AD14" i="41" s="1"/>
  <c r="M14" i="41"/>
  <c r="O13" i="41"/>
  <c r="O12" i="40"/>
  <c r="AC12" i="40"/>
  <c r="AA13" i="40" s="1"/>
  <c r="AB13" i="40" s="1"/>
  <c r="O12" i="39"/>
  <c r="AC12" i="39"/>
  <c r="AA13" i="39" s="1"/>
  <c r="AB13" i="39" s="1"/>
  <c r="K17" i="36"/>
  <c r="K11" i="21"/>
  <c r="J11" i="33"/>
  <c r="K17" i="11"/>
  <c r="J35" i="33"/>
  <c r="K10" i="4"/>
  <c r="K10" i="3"/>
  <c r="Y16" i="29"/>
  <c r="T12" i="33" s="1"/>
  <c r="W16" i="29"/>
  <c r="R12" i="33" s="1"/>
  <c r="V16" i="29"/>
  <c r="Q12" i="33" s="1"/>
  <c r="S16" i="29"/>
  <c r="N12" i="33" s="1"/>
  <c r="R16" i="29"/>
  <c r="M12" i="33" s="1"/>
  <c r="V13" i="14"/>
  <c r="J13" i="14"/>
  <c r="G13" i="14" s="1"/>
  <c r="V12" i="14"/>
  <c r="G8" i="36"/>
  <c r="V8" i="36"/>
  <c r="AB14" i="42" l="1"/>
  <c r="AC14" i="42" s="1"/>
  <c r="AA15" i="42" s="1"/>
  <c r="AD15" i="42" s="1"/>
  <c r="M14" i="42"/>
  <c r="O13" i="42"/>
  <c r="AB14" i="41"/>
  <c r="O14" i="41"/>
  <c r="L15" i="41" s="1"/>
  <c r="P15" i="41" s="1"/>
  <c r="AC13" i="40"/>
  <c r="AA14" i="40" s="1"/>
  <c r="AD14" i="40" s="1"/>
  <c r="L14" i="40"/>
  <c r="P14" i="40" s="1"/>
  <c r="L13" i="40"/>
  <c r="M13" i="40" s="1"/>
  <c r="AC13" i="39"/>
  <c r="AA14" i="39" s="1"/>
  <c r="AD14" i="39" s="1"/>
  <c r="L14" i="39"/>
  <c r="P14" i="39" s="1"/>
  <c r="L13" i="39"/>
  <c r="M13" i="39" s="1"/>
  <c r="Y17" i="36"/>
  <c r="T6" i="33" s="1"/>
  <c r="W17" i="36"/>
  <c r="R6" i="33" s="1"/>
  <c r="S17" i="36"/>
  <c r="N6" i="33" s="1"/>
  <c r="R17" i="36"/>
  <c r="M6" i="33" s="1"/>
  <c r="X16" i="36"/>
  <c r="Z16" i="36" s="1"/>
  <c r="T16" i="36"/>
  <c r="U16" i="36" s="1"/>
  <c r="J16" i="36"/>
  <c r="G16" i="36"/>
  <c r="X15" i="36"/>
  <c r="Z15" i="36" s="1"/>
  <c r="T15" i="36"/>
  <c r="U15" i="36" s="1"/>
  <c r="G15" i="36"/>
  <c r="X14" i="36"/>
  <c r="Z14" i="36" s="1"/>
  <c r="T14" i="36"/>
  <c r="U14" i="36" s="1"/>
  <c r="J14" i="36"/>
  <c r="G14" i="36" s="1"/>
  <c r="X13" i="36"/>
  <c r="T13" i="36"/>
  <c r="U13" i="36" s="1"/>
  <c r="G13" i="36"/>
  <c r="X12" i="36"/>
  <c r="T12" i="36"/>
  <c r="U12" i="36" s="1"/>
  <c r="G12" i="36"/>
  <c r="X11" i="36"/>
  <c r="Z11" i="36" s="1"/>
  <c r="T11" i="36"/>
  <c r="U11" i="36" s="1"/>
  <c r="J11" i="36"/>
  <c r="G11" i="36" s="1"/>
  <c r="X10" i="36"/>
  <c r="Z10" i="36" s="1"/>
  <c r="T10" i="36"/>
  <c r="U10" i="36" s="1"/>
  <c r="J10" i="36"/>
  <c r="G10" i="36" s="1"/>
  <c r="X9" i="36"/>
  <c r="Z9" i="36" s="1"/>
  <c r="U9" i="36"/>
  <c r="J9" i="36"/>
  <c r="G9" i="36" s="1"/>
  <c r="AA8" i="36"/>
  <c r="T8" i="36"/>
  <c r="U8" i="36" s="1"/>
  <c r="J8" i="36"/>
  <c r="A8" i="36"/>
  <c r="A9" i="36" s="1"/>
  <c r="A10" i="36" s="1"/>
  <c r="A11" i="36" s="1"/>
  <c r="A12" i="36" s="1"/>
  <c r="A13" i="36" s="1"/>
  <c r="A14" i="36" s="1"/>
  <c r="A15" i="36" s="1"/>
  <c r="A16" i="36" s="1"/>
  <c r="AB7" i="36"/>
  <c r="U7" i="36" s="1"/>
  <c r="T7" i="36"/>
  <c r="P7" i="36"/>
  <c r="N7" i="36"/>
  <c r="N8" i="36" s="1"/>
  <c r="N9" i="36" s="1"/>
  <c r="N10" i="36" s="1"/>
  <c r="N11" i="36" s="1"/>
  <c r="N12" i="36" s="1"/>
  <c r="N13" i="36" s="1"/>
  <c r="N14" i="36" s="1"/>
  <c r="N15" i="36" s="1"/>
  <c r="N16" i="36" s="1"/>
  <c r="H7" i="36"/>
  <c r="M7" i="36" s="1"/>
  <c r="V8" i="35"/>
  <c r="V13" i="35" s="1"/>
  <c r="Q30" i="33" s="1"/>
  <c r="H7" i="35"/>
  <c r="Y13" i="35"/>
  <c r="T30" i="33" s="1"/>
  <c r="W13" i="35"/>
  <c r="R30" i="33" s="1"/>
  <c r="S13" i="35"/>
  <c r="N30" i="33" s="1"/>
  <c r="R13" i="35"/>
  <c r="M30" i="33" s="1"/>
  <c r="X12" i="35"/>
  <c r="Z12" i="35" s="1"/>
  <c r="T12" i="35"/>
  <c r="U12" i="35" s="1"/>
  <c r="J12" i="35"/>
  <c r="G12" i="35" s="1"/>
  <c r="X11" i="35"/>
  <c r="Z11" i="35" s="1"/>
  <c r="T11" i="35"/>
  <c r="U11" i="35" s="1"/>
  <c r="G11" i="35"/>
  <c r="X10" i="35"/>
  <c r="Z10" i="35" s="1"/>
  <c r="T10" i="35"/>
  <c r="U10" i="35" s="1"/>
  <c r="J10" i="35"/>
  <c r="G10" i="35" s="1"/>
  <c r="X9" i="35"/>
  <c r="T9" i="35"/>
  <c r="U9" i="35" s="1"/>
  <c r="G9" i="35"/>
  <c r="AA8" i="35"/>
  <c r="T8" i="35"/>
  <c r="U8" i="35" s="1"/>
  <c r="J8" i="35"/>
  <c r="G8" i="35" s="1"/>
  <c r="A8" i="35"/>
  <c r="A9" i="35" s="1"/>
  <c r="A10" i="35" s="1"/>
  <c r="A11" i="35" s="1"/>
  <c r="A12" i="35" s="1"/>
  <c r="AB7" i="35"/>
  <c r="U7" i="35" s="1"/>
  <c r="T7" i="35"/>
  <c r="P7" i="35"/>
  <c r="N7" i="35"/>
  <c r="N8" i="35" s="1"/>
  <c r="N9" i="35" s="1"/>
  <c r="N10" i="35" s="1"/>
  <c r="N11" i="35" s="1"/>
  <c r="N12" i="35" s="1"/>
  <c r="M7" i="35"/>
  <c r="V11" i="34"/>
  <c r="X11" i="34" s="1"/>
  <c r="Z11" i="34" s="1"/>
  <c r="V10" i="34"/>
  <c r="X10" i="34" s="1"/>
  <c r="Z10" i="34" s="1"/>
  <c r="V9" i="34"/>
  <c r="V8" i="34"/>
  <c r="V17" i="34" s="1"/>
  <c r="Q31" i="33" s="1"/>
  <c r="H7" i="34"/>
  <c r="M7" i="34" s="1"/>
  <c r="W17" i="34"/>
  <c r="R31" i="33" s="1"/>
  <c r="S17" i="34"/>
  <c r="N31" i="33" s="1"/>
  <c r="R17" i="34"/>
  <c r="M31" i="33" s="1"/>
  <c r="X16" i="34"/>
  <c r="Z16" i="34" s="1"/>
  <c r="T16" i="34"/>
  <c r="U16" i="34" s="1"/>
  <c r="J16" i="34"/>
  <c r="G16" i="34"/>
  <c r="X15" i="34"/>
  <c r="Z15" i="34" s="1"/>
  <c r="T15" i="34"/>
  <c r="U15" i="34" s="1"/>
  <c r="G15" i="34"/>
  <c r="X14" i="34"/>
  <c r="Z14" i="34" s="1"/>
  <c r="T14" i="34"/>
  <c r="U14" i="34" s="1"/>
  <c r="J14" i="34"/>
  <c r="G14" i="34" s="1"/>
  <c r="X13" i="34"/>
  <c r="T13" i="34"/>
  <c r="U13" i="34" s="1"/>
  <c r="G13" i="34"/>
  <c r="X12" i="34"/>
  <c r="T12" i="34"/>
  <c r="U12" i="34" s="1"/>
  <c r="G12" i="34"/>
  <c r="T11" i="34"/>
  <c r="U11" i="34" s="1"/>
  <c r="J11" i="34"/>
  <c r="G11" i="34"/>
  <c r="T10" i="34"/>
  <c r="U10" i="34" s="1"/>
  <c r="J10" i="34"/>
  <c r="G10" i="34"/>
  <c r="U9" i="34"/>
  <c r="J9" i="34"/>
  <c r="G9" i="34" s="1"/>
  <c r="AA8" i="34"/>
  <c r="T8" i="34"/>
  <c r="J8" i="34"/>
  <c r="G8" i="34"/>
  <c r="A8" i="34"/>
  <c r="A9" i="34" s="1"/>
  <c r="A10" i="34" s="1"/>
  <c r="A11" i="34" s="1"/>
  <c r="A12" i="34" s="1"/>
  <c r="A13" i="34" s="1"/>
  <c r="A14" i="34" s="1"/>
  <c r="A15" i="34" s="1"/>
  <c r="A16" i="34" s="1"/>
  <c r="AB7" i="34"/>
  <c r="U7" i="34" s="1"/>
  <c r="T7" i="34"/>
  <c r="P7" i="34"/>
  <c r="N7" i="34"/>
  <c r="N8" i="34" s="1"/>
  <c r="N9" i="34" s="1"/>
  <c r="N10" i="34" s="1"/>
  <c r="N11" i="34" s="1"/>
  <c r="N12" i="34" s="1"/>
  <c r="N13" i="34" s="1"/>
  <c r="N14" i="34" s="1"/>
  <c r="N15" i="34" s="1"/>
  <c r="N16" i="34" s="1"/>
  <c r="V10" i="14"/>
  <c r="X10" i="14" s="1"/>
  <c r="Z10" i="14" s="1"/>
  <c r="V9" i="14"/>
  <c r="X9" i="14" s="1"/>
  <c r="Z9" i="14" s="1"/>
  <c r="R8" i="14"/>
  <c r="R17" i="14" s="1"/>
  <c r="M15" i="33" s="1"/>
  <c r="Y17" i="14"/>
  <c r="T15" i="33" s="1"/>
  <c r="W17" i="14"/>
  <c r="R15" i="33" s="1"/>
  <c r="S17" i="14"/>
  <c r="N15" i="33" s="1"/>
  <c r="X13" i="14"/>
  <c r="T13" i="14"/>
  <c r="U13" i="14" s="1"/>
  <c r="X12" i="14"/>
  <c r="T12" i="14"/>
  <c r="U12" i="14" s="1"/>
  <c r="T11" i="14"/>
  <c r="U11" i="14" s="1"/>
  <c r="T10" i="14"/>
  <c r="U10" i="14" s="1"/>
  <c r="U9" i="14"/>
  <c r="AA8" i="14"/>
  <c r="X8" i="14"/>
  <c r="Z8" i="14" s="1"/>
  <c r="AB7" i="14"/>
  <c r="U7" i="14" s="1"/>
  <c r="T7" i="14"/>
  <c r="R8" i="15"/>
  <c r="T8" i="15" s="1"/>
  <c r="U8" i="15" s="1"/>
  <c r="R9" i="15"/>
  <c r="T9" i="15" s="1"/>
  <c r="U9" i="15" s="1"/>
  <c r="Y17" i="15"/>
  <c r="T19" i="33" s="1"/>
  <c r="W17" i="15"/>
  <c r="R19" i="33" s="1"/>
  <c r="V17" i="15"/>
  <c r="Q19" i="33" s="1"/>
  <c r="S17" i="15"/>
  <c r="N19" i="33" s="1"/>
  <c r="X16" i="15"/>
  <c r="Z16" i="15" s="1"/>
  <c r="T16" i="15"/>
  <c r="U16" i="15" s="1"/>
  <c r="X15" i="15"/>
  <c r="Z15" i="15" s="1"/>
  <c r="T15" i="15"/>
  <c r="U15" i="15" s="1"/>
  <c r="X14" i="15"/>
  <c r="Z14" i="15" s="1"/>
  <c r="T14" i="15"/>
  <c r="U14" i="15" s="1"/>
  <c r="X13" i="15"/>
  <c r="T13" i="15"/>
  <c r="U13" i="15" s="1"/>
  <c r="X12" i="15"/>
  <c r="T12" i="15"/>
  <c r="U12" i="15" s="1"/>
  <c r="X11" i="15"/>
  <c r="Z11" i="15" s="1"/>
  <c r="T11" i="15"/>
  <c r="U11" i="15" s="1"/>
  <c r="X10" i="15"/>
  <c r="T10" i="15"/>
  <c r="U10" i="15" s="1"/>
  <c r="X9" i="15"/>
  <c r="Z9" i="15" s="1"/>
  <c r="AA8" i="15"/>
  <c r="X8" i="15"/>
  <c r="Z8" i="15" s="1"/>
  <c r="AB7" i="15"/>
  <c r="U7" i="15" s="1"/>
  <c r="T7" i="15"/>
  <c r="R8" i="23"/>
  <c r="T8" i="23" s="1"/>
  <c r="R9" i="23"/>
  <c r="R10" i="23"/>
  <c r="Y11" i="23"/>
  <c r="T32" i="33" s="1"/>
  <c r="W11" i="23"/>
  <c r="R32" i="33" s="1"/>
  <c r="V11" i="23"/>
  <c r="Q32" i="33" s="1"/>
  <c r="S11" i="23"/>
  <c r="N32" i="33" s="1"/>
  <c r="X10" i="23"/>
  <c r="X9" i="23"/>
  <c r="T9" i="23"/>
  <c r="U9" i="23" s="1"/>
  <c r="AA8" i="23"/>
  <c r="X8" i="23"/>
  <c r="AB7" i="23"/>
  <c r="U7" i="23" s="1"/>
  <c r="T7" i="23"/>
  <c r="R10" i="24"/>
  <c r="T10" i="24" s="1"/>
  <c r="U10" i="24" s="1"/>
  <c r="R9" i="24"/>
  <c r="T9" i="24" s="1"/>
  <c r="U9" i="24" s="1"/>
  <c r="R8" i="24"/>
  <c r="T8" i="24"/>
  <c r="U8" i="24" s="1"/>
  <c r="Y12" i="24"/>
  <c r="T14" i="33" s="1"/>
  <c r="W12" i="24"/>
  <c r="R14" i="33" s="1"/>
  <c r="V12" i="24"/>
  <c r="Q14" i="33" s="1"/>
  <c r="S12" i="24"/>
  <c r="N14" i="33" s="1"/>
  <c r="X11" i="24"/>
  <c r="T11" i="24"/>
  <c r="U11" i="24" s="1"/>
  <c r="X10" i="24"/>
  <c r="X9" i="24"/>
  <c r="AA8" i="24"/>
  <c r="X8" i="24"/>
  <c r="Z8" i="24" s="1"/>
  <c r="AD8" i="24" s="1"/>
  <c r="AB7" i="24"/>
  <c r="U7" i="24"/>
  <c r="T7" i="24"/>
  <c r="R8" i="25"/>
  <c r="R12" i="25" s="1"/>
  <c r="M27" i="33" s="1"/>
  <c r="Y12" i="25"/>
  <c r="T27" i="33" s="1"/>
  <c r="W12" i="25"/>
  <c r="R27" i="33" s="1"/>
  <c r="V12" i="25"/>
  <c r="Q27" i="33" s="1"/>
  <c r="S12" i="25"/>
  <c r="N27" i="33" s="1"/>
  <c r="X11" i="25"/>
  <c r="T11" i="25"/>
  <c r="U11" i="25" s="1"/>
  <c r="X10" i="25"/>
  <c r="T10" i="25"/>
  <c r="U10" i="25" s="1"/>
  <c r="X9" i="25"/>
  <c r="T9" i="25"/>
  <c r="U9" i="25" s="1"/>
  <c r="AA8" i="25"/>
  <c r="X8" i="25"/>
  <c r="Z8" i="25" s="1"/>
  <c r="AD8" i="25" s="1"/>
  <c r="AB7" i="25"/>
  <c r="U7" i="25"/>
  <c r="T7" i="25"/>
  <c r="R8" i="26"/>
  <c r="R12" i="26" s="1"/>
  <c r="M13" i="33" s="1"/>
  <c r="Y12" i="26"/>
  <c r="T13" i="33" s="1"/>
  <c r="W12" i="26"/>
  <c r="R13" i="33" s="1"/>
  <c r="V12" i="26"/>
  <c r="Q13" i="33" s="1"/>
  <c r="S12" i="26"/>
  <c r="N13" i="33" s="1"/>
  <c r="X11" i="26"/>
  <c r="T11" i="26"/>
  <c r="U11" i="26" s="1"/>
  <c r="X10" i="26"/>
  <c r="T10" i="26"/>
  <c r="U10" i="26" s="1"/>
  <c r="X9" i="26"/>
  <c r="T9" i="26"/>
  <c r="U9" i="26" s="1"/>
  <c r="AA8" i="26"/>
  <c r="X8" i="26"/>
  <c r="Z8" i="26" s="1"/>
  <c r="T8" i="26"/>
  <c r="U8" i="26" s="1"/>
  <c r="AB7" i="26"/>
  <c r="U7" i="26" s="1"/>
  <c r="T7" i="26"/>
  <c r="K16" i="30"/>
  <c r="R8" i="28"/>
  <c r="T8" i="28" s="1"/>
  <c r="U8" i="28" s="1"/>
  <c r="R9" i="28"/>
  <c r="T9" i="28" s="1"/>
  <c r="U9" i="28" s="1"/>
  <c r="Y16" i="28"/>
  <c r="T18" i="33" s="1"/>
  <c r="W16" i="28"/>
  <c r="R18" i="33" s="1"/>
  <c r="V16" i="28"/>
  <c r="Q18" i="33" s="1"/>
  <c r="S16" i="28"/>
  <c r="N18" i="33" s="1"/>
  <c r="X15" i="28"/>
  <c r="Z15" i="28" s="1"/>
  <c r="T15" i="28"/>
  <c r="U15" i="28" s="1"/>
  <c r="X14" i="28"/>
  <c r="Z14" i="28" s="1"/>
  <c r="T14" i="28"/>
  <c r="U14" i="28" s="1"/>
  <c r="X13" i="28"/>
  <c r="Z13" i="28" s="1"/>
  <c r="T13" i="28"/>
  <c r="U13" i="28" s="1"/>
  <c r="X12" i="28"/>
  <c r="T12" i="28"/>
  <c r="U12" i="28" s="1"/>
  <c r="X11" i="28"/>
  <c r="T11" i="28"/>
  <c r="U11" i="28" s="1"/>
  <c r="X10" i="28"/>
  <c r="Z10" i="28" s="1"/>
  <c r="T10" i="28"/>
  <c r="U10" i="28" s="1"/>
  <c r="X9" i="28"/>
  <c r="Z9" i="28" s="1"/>
  <c r="AA8" i="28"/>
  <c r="X8" i="28"/>
  <c r="Z8" i="28" s="1"/>
  <c r="AD8" i="28" s="1"/>
  <c r="AB7" i="28"/>
  <c r="U7" i="28" s="1"/>
  <c r="T7" i="28"/>
  <c r="R8" i="30"/>
  <c r="R16" i="30" s="1"/>
  <c r="M10" i="33" s="1"/>
  <c r="R8" i="31"/>
  <c r="R8" i="32"/>
  <c r="R11" i="32" s="1"/>
  <c r="M4" i="33" s="1"/>
  <c r="X15" i="29"/>
  <c r="Z15" i="29" s="1"/>
  <c r="T15" i="29"/>
  <c r="U15" i="29" s="1"/>
  <c r="X14" i="29"/>
  <c r="Z14" i="29" s="1"/>
  <c r="T14" i="29"/>
  <c r="U14" i="29" s="1"/>
  <c r="X13" i="29"/>
  <c r="Z13" i="29" s="1"/>
  <c r="T13" i="29"/>
  <c r="U13" i="29" s="1"/>
  <c r="X12" i="29"/>
  <c r="T12" i="29"/>
  <c r="U12" i="29" s="1"/>
  <c r="X11" i="29"/>
  <c r="T11" i="29"/>
  <c r="U11" i="29" s="1"/>
  <c r="X10" i="29"/>
  <c r="Z10" i="29" s="1"/>
  <c r="T10" i="29"/>
  <c r="U10" i="29" s="1"/>
  <c r="X9" i="29"/>
  <c r="Z9" i="29" s="1"/>
  <c r="T9" i="29"/>
  <c r="U9" i="29" s="1"/>
  <c r="AA8" i="29"/>
  <c r="X8" i="29"/>
  <c r="T8" i="29"/>
  <c r="U8" i="29" s="1"/>
  <c r="AB7" i="29"/>
  <c r="U7" i="29" s="1"/>
  <c r="T7" i="29"/>
  <c r="Y16" i="30"/>
  <c r="T10" i="33" s="1"/>
  <c r="W16" i="30"/>
  <c r="R10" i="33" s="1"/>
  <c r="V16" i="30"/>
  <c r="Q10" i="33" s="1"/>
  <c r="S16" i="30"/>
  <c r="N10" i="33" s="1"/>
  <c r="X15" i="30"/>
  <c r="Z15" i="30" s="1"/>
  <c r="T15" i="30"/>
  <c r="U15" i="30" s="1"/>
  <c r="X14" i="30"/>
  <c r="Z14" i="30" s="1"/>
  <c r="T14" i="30"/>
  <c r="U14" i="30" s="1"/>
  <c r="X13" i="30"/>
  <c r="Z13" i="30" s="1"/>
  <c r="T13" i="30"/>
  <c r="U13" i="30" s="1"/>
  <c r="X12" i="30"/>
  <c r="T12" i="30"/>
  <c r="U12" i="30" s="1"/>
  <c r="X11" i="30"/>
  <c r="T11" i="30"/>
  <c r="U11" i="30" s="1"/>
  <c r="X10" i="30"/>
  <c r="Z10" i="30" s="1"/>
  <c r="T10" i="30"/>
  <c r="U10" i="30" s="1"/>
  <c r="X9" i="30"/>
  <c r="Z9" i="30" s="1"/>
  <c r="T9" i="30"/>
  <c r="U9" i="30" s="1"/>
  <c r="AA8" i="30"/>
  <c r="X8" i="30"/>
  <c r="Z8" i="30" s="1"/>
  <c r="AD8" i="30" s="1"/>
  <c r="AB7" i="30"/>
  <c r="U7" i="30" s="1"/>
  <c r="T7" i="30"/>
  <c r="Y11" i="31"/>
  <c r="Y12" i="31" s="1"/>
  <c r="T9" i="33" s="1"/>
  <c r="W11" i="31"/>
  <c r="W12" i="31" s="1"/>
  <c r="R9" i="33" s="1"/>
  <c r="V11" i="31"/>
  <c r="V12" i="31" s="1"/>
  <c r="Q9" i="33" s="1"/>
  <c r="S11" i="31"/>
  <c r="S12" i="31" s="1"/>
  <c r="N9" i="33" s="1"/>
  <c r="X10" i="31"/>
  <c r="Z10" i="31" s="1"/>
  <c r="T10" i="31"/>
  <c r="U10" i="31" s="1"/>
  <c r="X9" i="31"/>
  <c r="Z9" i="31" s="1"/>
  <c r="T9" i="31"/>
  <c r="U9" i="31" s="1"/>
  <c r="AA8" i="31"/>
  <c r="X8" i="31"/>
  <c r="AB7" i="31"/>
  <c r="U7" i="31" s="1"/>
  <c r="T7" i="31"/>
  <c r="Y11" i="32"/>
  <c r="T4" i="33" s="1"/>
  <c r="W11" i="32"/>
  <c r="R4" i="33" s="1"/>
  <c r="V11" i="32"/>
  <c r="Q4" i="33" s="1"/>
  <c r="S11" i="32"/>
  <c r="N4" i="33" s="1"/>
  <c r="X10" i="32"/>
  <c r="Z10" i="32" s="1"/>
  <c r="T10" i="32"/>
  <c r="U10" i="32" s="1"/>
  <c r="X9" i="32"/>
  <c r="Z9" i="32" s="1"/>
  <c r="T9" i="32"/>
  <c r="U9" i="32" s="1"/>
  <c r="AA8" i="32"/>
  <c r="X8" i="32"/>
  <c r="Z8" i="32" s="1"/>
  <c r="AD8" i="32" s="1"/>
  <c r="AB7" i="32"/>
  <c r="U7" i="32"/>
  <c r="T7" i="32"/>
  <c r="W14" i="22"/>
  <c r="R26" i="33" s="1"/>
  <c r="Y14" i="22"/>
  <c r="T26" i="33" s="1"/>
  <c r="V13" i="22"/>
  <c r="X13" i="22" s="1"/>
  <c r="Z13" i="22" s="1"/>
  <c r="V12" i="22"/>
  <c r="X12" i="22" s="1"/>
  <c r="Z12" i="22" s="1"/>
  <c r="V11" i="22"/>
  <c r="X11" i="22" s="1"/>
  <c r="Z11" i="22" s="1"/>
  <c r="V10" i="22"/>
  <c r="X10" i="22" s="1"/>
  <c r="Z10" i="22" s="1"/>
  <c r="V9" i="22"/>
  <c r="X9" i="22" s="1"/>
  <c r="Z9" i="22" s="1"/>
  <c r="V8" i="22"/>
  <c r="X8" i="22" s="1"/>
  <c r="S14" i="22"/>
  <c r="N26" i="33" s="1"/>
  <c r="R14" i="22"/>
  <c r="M26" i="33" s="1"/>
  <c r="T13" i="22"/>
  <c r="U13" i="22" s="1"/>
  <c r="T12" i="22"/>
  <c r="U12" i="22" s="1"/>
  <c r="T11" i="22"/>
  <c r="U11" i="22" s="1"/>
  <c r="T10" i="22"/>
  <c r="U10" i="22" s="1"/>
  <c r="T9" i="22"/>
  <c r="U9" i="22" s="1"/>
  <c r="AA8" i="22"/>
  <c r="T8" i="22"/>
  <c r="U8" i="22" s="1"/>
  <c r="AB7" i="22"/>
  <c r="U7" i="22" s="1"/>
  <c r="T7" i="22"/>
  <c r="V10" i="21"/>
  <c r="V9" i="21"/>
  <c r="X9" i="21" s="1"/>
  <c r="Z9" i="21" s="1"/>
  <c r="V8" i="21"/>
  <c r="Y11" i="21"/>
  <c r="T17" i="33" s="1"/>
  <c r="W11" i="21"/>
  <c r="R17" i="33" s="1"/>
  <c r="S11" i="21"/>
  <c r="N17" i="33" s="1"/>
  <c r="R11" i="21"/>
  <c r="M17" i="33" s="1"/>
  <c r="T10" i="21"/>
  <c r="U10" i="21" s="1"/>
  <c r="T9" i="21"/>
  <c r="U9" i="21" s="1"/>
  <c r="AA8" i="21"/>
  <c r="T8" i="21"/>
  <c r="U8" i="21" s="1"/>
  <c r="AB7" i="21"/>
  <c r="U7" i="21"/>
  <c r="T7" i="21"/>
  <c r="AB7" i="20"/>
  <c r="U7" i="20" s="1"/>
  <c r="Y16" i="20"/>
  <c r="T16" i="33" s="1"/>
  <c r="V9" i="20"/>
  <c r="X9" i="20" s="1"/>
  <c r="Z9" i="20" s="1"/>
  <c r="R10" i="20"/>
  <c r="T10" i="20" s="1"/>
  <c r="U10" i="20" s="1"/>
  <c r="V8" i="20"/>
  <c r="W16" i="20"/>
  <c r="R16" i="33" s="1"/>
  <c r="S16" i="20"/>
  <c r="N16" i="33" s="1"/>
  <c r="X15" i="20"/>
  <c r="Z15" i="20" s="1"/>
  <c r="T15" i="20"/>
  <c r="U15" i="20" s="1"/>
  <c r="X14" i="20"/>
  <c r="Z14" i="20" s="1"/>
  <c r="T14" i="20"/>
  <c r="U14" i="20" s="1"/>
  <c r="X13" i="20"/>
  <c r="Z13" i="20" s="1"/>
  <c r="T13" i="20"/>
  <c r="U13" i="20" s="1"/>
  <c r="X10" i="20"/>
  <c r="Z10" i="20" s="1"/>
  <c r="T9" i="20"/>
  <c r="U9" i="20" s="1"/>
  <c r="AA8" i="20"/>
  <c r="T8" i="20"/>
  <c r="U8" i="20" s="1"/>
  <c r="T7" i="20"/>
  <c r="V9" i="19"/>
  <c r="X9" i="19" s="1"/>
  <c r="Z9" i="19" s="1"/>
  <c r="Y16" i="19"/>
  <c r="T8" i="33" s="1"/>
  <c r="V8" i="19"/>
  <c r="V16" i="19" s="1"/>
  <c r="Q8" i="33" s="1"/>
  <c r="W16" i="19"/>
  <c r="R8" i="33" s="1"/>
  <c r="S16" i="19"/>
  <c r="N8" i="33" s="1"/>
  <c r="R16" i="19"/>
  <c r="M8" i="33" s="1"/>
  <c r="T9" i="19"/>
  <c r="U9" i="19" s="1"/>
  <c r="AA8" i="19"/>
  <c r="X8" i="19"/>
  <c r="Z8" i="19" s="1"/>
  <c r="T8" i="19"/>
  <c r="U8" i="19" s="1"/>
  <c r="AB7" i="19"/>
  <c r="U7" i="19"/>
  <c r="T7" i="19"/>
  <c r="R9" i="18"/>
  <c r="T9" i="18" s="1"/>
  <c r="Y10" i="18"/>
  <c r="T25" i="33" s="1"/>
  <c r="W10" i="18"/>
  <c r="R25" i="33" s="1"/>
  <c r="S10" i="18"/>
  <c r="N25" i="33" s="1"/>
  <c r="V8" i="18"/>
  <c r="V10" i="18" s="1"/>
  <c r="Q25" i="33" s="1"/>
  <c r="X9" i="18"/>
  <c r="AA8" i="18"/>
  <c r="X8" i="18"/>
  <c r="X10" i="18" s="1"/>
  <c r="S25" i="33" s="1"/>
  <c r="T8" i="18"/>
  <c r="U8" i="18" s="1"/>
  <c r="AB7" i="18"/>
  <c r="T7" i="18"/>
  <c r="X9" i="17"/>
  <c r="Z9" i="17" s="1"/>
  <c r="T9" i="17"/>
  <c r="Y10" i="17"/>
  <c r="T24" i="33" s="1"/>
  <c r="W10" i="17"/>
  <c r="R24" i="33" s="1"/>
  <c r="V10" i="17"/>
  <c r="Q24" i="33" s="1"/>
  <c r="S10" i="17"/>
  <c r="N24" i="33" s="1"/>
  <c r="R8" i="17"/>
  <c r="T8" i="17" s="1"/>
  <c r="U8" i="17" s="1"/>
  <c r="AA8" i="17"/>
  <c r="X8" i="17"/>
  <c r="Z8" i="17" s="1"/>
  <c r="AB7" i="17"/>
  <c r="U7" i="17" s="1"/>
  <c r="T7" i="17"/>
  <c r="Y10" i="16"/>
  <c r="T11" i="33" s="1"/>
  <c r="V9" i="16"/>
  <c r="V10" i="16" s="1"/>
  <c r="Q11" i="33" s="1"/>
  <c r="W10" i="16"/>
  <c r="R11" i="33" s="1"/>
  <c r="S10" i="16"/>
  <c r="N11" i="33" s="1"/>
  <c r="R8" i="16"/>
  <c r="T8" i="16" s="1"/>
  <c r="U8" i="16" s="1"/>
  <c r="T9" i="16"/>
  <c r="U9" i="16" s="1"/>
  <c r="AA8" i="16"/>
  <c r="X8" i="16"/>
  <c r="Z8" i="16" s="1"/>
  <c r="AD8" i="16" s="1"/>
  <c r="AB7" i="16"/>
  <c r="U7" i="16" s="1"/>
  <c r="U10" i="16" s="1"/>
  <c r="T7" i="16"/>
  <c r="Y17" i="13"/>
  <c r="T21" i="33" s="1"/>
  <c r="W17" i="13"/>
  <c r="R21" i="33" s="1"/>
  <c r="V17" i="13"/>
  <c r="Q21" i="33" s="1"/>
  <c r="S17" i="13"/>
  <c r="N21" i="33" s="1"/>
  <c r="K17" i="13"/>
  <c r="G21" i="33" s="1"/>
  <c r="J8" i="13"/>
  <c r="R9" i="13"/>
  <c r="T9" i="13" s="1"/>
  <c r="U9" i="13" s="1"/>
  <c r="R8" i="13"/>
  <c r="R17" i="13" s="1"/>
  <c r="M21" i="33" s="1"/>
  <c r="X16" i="13"/>
  <c r="Z16" i="13" s="1"/>
  <c r="T16" i="13"/>
  <c r="U16" i="13" s="1"/>
  <c r="X15" i="13"/>
  <c r="Z15" i="13" s="1"/>
  <c r="T15" i="13"/>
  <c r="U15" i="13" s="1"/>
  <c r="X14" i="13"/>
  <c r="Z14" i="13" s="1"/>
  <c r="T14" i="13"/>
  <c r="U14" i="13" s="1"/>
  <c r="X13" i="13"/>
  <c r="T13" i="13"/>
  <c r="U13" i="13" s="1"/>
  <c r="X12" i="13"/>
  <c r="T12" i="13"/>
  <c r="U12" i="13" s="1"/>
  <c r="X11" i="13"/>
  <c r="Z11" i="13" s="1"/>
  <c r="T11" i="13"/>
  <c r="U11" i="13" s="1"/>
  <c r="X10" i="13"/>
  <c r="T10" i="13"/>
  <c r="U10" i="13" s="1"/>
  <c r="X9" i="13"/>
  <c r="Z9" i="13" s="1"/>
  <c r="AA8" i="13"/>
  <c r="X8" i="13"/>
  <c r="AB7" i="13"/>
  <c r="T7" i="13"/>
  <c r="Y17" i="12"/>
  <c r="T7" i="33" s="1"/>
  <c r="W17" i="12"/>
  <c r="R7" i="33" s="1"/>
  <c r="S17" i="12"/>
  <c r="N7" i="33" s="1"/>
  <c r="K17" i="12"/>
  <c r="G7" i="33" s="1"/>
  <c r="V9" i="12"/>
  <c r="V17" i="12" s="1"/>
  <c r="Q7" i="33" s="1"/>
  <c r="X16" i="12"/>
  <c r="Z16" i="12" s="1"/>
  <c r="T16" i="12"/>
  <c r="U16" i="12" s="1"/>
  <c r="X15" i="12"/>
  <c r="Z15" i="12" s="1"/>
  <c r="T15" i="12"/>
  <c r="U15" i="12" s="1"/>
  <c r="X14" i="12"/>
  <c r="Z14" i="12" s="1"/>
  <c r="T14" i="12"/>
  <c r="U14" i="12" s="1"/>
  <c r="X13" i="12"/>
  <c r="T13" i="12"/>
  <c r="U13" i="12" s="1"/>
  <c r="X12" i="12"/>
  <c r="T12" i="12"/>
  <c r="U12" i="12" s="1"/>
  <c r="X11" i="12"/>
  <c r="Z11" i="12" s="1"/>
  <c r="T11" i="12"/>
  <c r="U11" i="12" s="1"/>
  <c r="X10" i="12"/>
  <c r="Z10" i="12" s="1"/>
  <c r="T10" i="12"/>
  <c r="U10" i="12" s="1"/>
  <c r="X9" i="12"/>
  <c r="Z9" i="12" s="1"/>
  <c r="AB7" i="12"/>
  <c r="U7" i="12" s="1"/>
  <c r="AA8" i="12"/>
  <c r="R8" i="12"/>
  <c r="T8" i="12" s="1"/>
  <c r="U8" i="12" s="1"/>
  <c r="X8" i="12"/>
  <c r="Z8" i="12" s="1"/>
  <c r="V17" i="11"/>
  <c r="Q22" i="33" s="1"/>
  <c r="Y17" i="11"/>
  <c r="T22" i="33" s="1"/>
  <c r="W17" i="11"/>
  <c r="R22" i="33" s="1"/>
  <c r="S17" i="11"/>
  <c r="N22" i="33" s="1"/>
  <c r="J8" i="11"/>
  <c r="R8" i="11"/>
  <c r="R17" i="11" s="1"/>
  <c r="M22" i="33" s="1"/>
  <c r="T10" i="11"/>
  <c r="U10" i="11"/>
  <c r="X10" i="11"/>
  <c r="T11" i="11"/>
  <c r="U11" i="11" s="1"/>
  <c r="X11" i="11"/>
  <c r="Z11" i="11"/>
  <c r="T12" i="11"/>
  <c r="U12" i="11"/>
  <c r="X12" i="11"/>
  <c r="T13" i="11"/>
  <c r="U13" i="11" s="1"/>
  <c r="X13" i="11"/>
  <c r="T14" i="11"/>
  <c r="U14" i="11" s="1"/>
  <c r="X14" i="11"/>
  <c r="Z14" i="11" s="1"/>
  <c r="T15" i="11"/>
  <c r="U15" i="11" s="1"/>
  <c r="X15" i="11"/>
  <c r="Z15" i="11"/>
  <c r="T16" i="11"/>
  <c r="U16" i="11"/>
  <c r="X16" i="11"/>
  <c r="Z16" i="11" s="1"/>
  <c r="X9" i="11"/>
  <c r="Z9" i="11" s="1"/>
  <c r="T9" i="11"/>
  <c r="U9" i="11" s="1"/>
  <c r="AA8" i="11"/>
  <c r="X8" i="11"/>
  <c r="Z8" i="11" s="1"/>
  <c r="Z17" i="11" s="1"/>
  <c r="U22" i="33" s="1"/>
  <c r="T8" i="11"/>
  <c r="U8" i="11" s="1"/>
  <c r="AB7" i="11"/>
  <c r="U7" i="11" s="1"/>
  <c r="U17" i="11" s="1"/>
  <c r="T7" i="11"/>
  <c r="V10" i="10"/>
  <c r="X10" i="10" s="1"/>
  <c r="Z10" i="10" s="1"/>
  <c r="V9" i="10"/>
  <c r="V8" i="10"/>
  <c r="X8" i="10" s="1"/>
  <c r="Y17" i="10"/>
  <c r="T5" i="33" s="1"/>
  <c r="W17" i="10"/>
  <c r="R5" i="33" s="1"/>
  <c r="S17" i="10"/>
  <c r="N5" i="33" s="1"/>
  <c r="R17" i="10"/>
  <c r="M5" i="33" s="1"/>
  <c r="X16" i="10"/>
  <c r="Z16" i="10" s="1"/>
  <c r="T16" i="10"/>
  <c r="U16" i="10" s="1"/>
  <c r="X15" i="10"/>
  <c r="Z15" i="10" s="1"/>
  <c r="T15" i="10"/>
  <c r="U15" i="10" s="1"/>
  <c r="X14" i="10"/>
  <c r="Z14" i="10" s="1"/>
  <c r="T14" i="10"/>
  <c r="U14" i="10" s="1"/>
  <c r="X13" i="10"/>
  <c r="T13" i="10"/>
  <c r="U13" i="10" s="1"/>
  <c r="X12" i="10"/>
  <c r="T12" i="10"/>
  <c r="U12" i="10" s="1"/>
  <c r="X11" i="10"/>
  <c r="Z11" i="10" s="1"/>
  <c r="T11" i="10"/>
  <c r="U11" i="10" s="1"/>
  <c r="T10" i="10"/>
  <c r="U10" i="10" s="1"/>
  <c r="T9" i="10"/>
  <c r="U9" i="10" s="1"/>
  <c r="AA8" i="10"/>
  <c r="T8" i="10"/>
  <c r="U8" i="10" s="1"/>
  <c r="AB7" i="10"/>
  <c r="T7" i="10"/>
  <c r="V8" i="7"/>
  <c r="X8" i="7" s="1"/>
  <c r="AA8" i="7"/>
  <c r="AA9" i="7" s="1"/>
  <c r="V38" i="33" s="1"/>
  <c r="T8" i="7"/>
  <c r="U8" i="7" s="1"/>
  <c r="AB7" i="7"/>
  <c r="U7" i="7" s="1"/>
  <c r="T7" i="7"/>
  <c r="Y10" i="6"/>
  <c r="T20" i="33" s="1"/>
  <c r="W10" i="6"/>
  <c r="R20" i="33" s="1"/>
  <c r="S10" i="6"/>
  <c r="N20" i="33" s="1"/>
  <c r="V9" i="6"/>
  <c r="X9" i="6" s="1"/>
  <c r="Z9" i="6" s="1"/>
  <c r="R8" i="6"/>
  <c r="T8" i="6" s="1"/>
  <c r="U8" i="6" s="1"/>
  <c r="AD7" i="6"/>
  <c r="T9" i="6"/>
  <c r="U9" i="6" s="1"/>
  <c r="AA8" i="6"/>
  <c r="X8" i="6"/>
  <c r="AB7" i="6"/>
  <c r="U7" i="6" s="1"/>
  <c r="T7" i="6"/>
  <c r="T10" i="6" s="1"/>
  <c r="O20" i="33" s="1"/>
  <c r="Y18" i="5"/>
  <c r="T29" i="33" s="1"/>
  <c r="W18" i="5"/>
  <c r="R29" i="33" s="1"/>
  <c r="S18" i="5"/>
  <c r="N29" i="33" s="1"/>
  <c r="V17" i="5"/>
  <c r="V18" i="5" s="1"/>
  <c r="Q29" i="33" s="1"/>
  <c r="V16" i="5"/>
  <c r="V15" i="5"/>
  <c r="V12" i="5"/>
  <c r="V11" i="5"/>
  <c r="V10" i="5"/>
  <c r="V9" i="5"/>
  <c r="R8" i="5"/>
  <c r="R18" i="5" s="1"/>
  <c r="M29" i="33" s="1"/>
  <c r="F17" i="34"/>
  <c r="K10" i="17"/>
  <c r="H17" i="34"/>
  <c r="H17" i="36"/>
  <c r="L16" i="30"/>
  <c r="H13" i="35"/>
  <c r="F13" i="35"/>
  <c r="F17" i="36"/>
  <c r="F17" i="15"/>
  <c r="I17" i="34"/>
  <c r="I17" i="36"/>
  <c r="I13" i="35"/>
  <c r="T9" i="7" l="1"/>
  <c r="O38" i="33" s="1"/>
  <c r="U9" i="7"/>
  <c r="AB15" i="42"/>
  <c r="AC15" i="42" s="1"/>
  <c r="AA16" i="42" s="1"/>
  <c r="O14" i="42"/>
  <c r="L15" i="42" s="1"/>
  <c r="P15" i="42" s="1"/>
  <c r="M15" i="41"/>
  <c r="AC14" i="41"/>
  <c r="AA15" i="41" s="1"/>
  <c r="AD15" i="41" s="1"/>
  <c r="M14" i="40"/>
  <c r="O13" i="40"/>
  <c r="AB14" i="40"/>
  <c r="M14" i="39"/>
  <c r="O13" i="39"/>
  <c r="AB14" i="39"/>
  <c r="D19" i="33"/>
  <c r="T8" i="25"/>
  <c r="T12" i="25" s="1"/>
  <c r="O27" i="33" s="1"/>
  <c r="X16" i="28"/>
  <c r="S18" i="33" s="1"/>
  <c r="R16" i="28"/>
  <c r="M18" i="33" s="1"/>
  <c r="X11" i="31"/>
  <c r="X12" i="31" s="1"/>
  <c r="S9" i="33" s="1"/>
  <c r="T8" i="30"/>
  <c r="U8" i="30" s="1"/>
  <c r="AB8" i="30" s="1"/>
  <c r="AD8" i="26"/>
  <c r="U16" i="28"/>
  <c r="X12" i="26"/>
  <c r="S13" i="33" s="1"/>
  <c r="T16" i="28"/>
  <c r="O18" i="33" s="1"/>
  <c r="T8" i="31"/>
  <c r="U12" i="26"/>
  <c r="U8" i="25"/>
  <c r="U12" i="25" s="1"/>
  <c r="T12" i="26"/>
  <c r="O13" i="33" s="1"/>
  <c r="T16" i="29"/>
  <c r="O12" i="33" s="1"/>
  <c r="U16" i="29"/>
  <c r="X11" i="32"/>
  <c r="S4" i="33" s="1"/>
  <c r="AB8" i="29"/>
  <c r="R11" i="23"/>
  <c r="M32" i="33" s="1"/>
  <c r="T8" i="32"/>
  <c r="U8" i="32" s="1"/>
  <c r="AB8" i="32" s="1"/>
  <c r="Z11" i="32"/>
  <c r="U4" i="33" s="1"/>
  <c r="Z8" i="29"/>
  <c r="AD8" i="29" s="1"/>
  <c r="X16" i="29"/>
  <c r="S12" i="33" s="1"/>
  <c r="X10" i="6"/>
  <c r="S20" i="33" s="1"/>
  <c r="U14" i="22"/>
  <c r="T11" i="21"/>
  <c r="O17" i="33" s="1"/>
  <c r="T10" i="17"/>
  <c r="O24" i="33" s="1"/>
  <c r="U11" i="21"/>
  <c r="P17" i="33" s="1"/>
  <c r="X17" i="13"/>
  <c r="S21" i="33" s="1"/>
  <c r="AB8" i="18"/>
  <c r="AB8" i="21"/>
  <c r="U16" i="19"/>
  <c r="T10" i="16"/>
  <c r="O11" i="33" s="1"/>
  <c r="T16" i="20"/>
  <c r="O16" i="33" s="1"/>
  <c r="X17" i="11"/>
  <c r="S22" i="33" s="1"/>
  <c r="U17" i="15"/>
  <c r="P19" i="33" s="1"/>
  <c r="X8" i="34"/>
  <c r="V16" i="20"/>
  <c r="Q16" i="33" s="1"/>
  <c r="R17" i="15"/>
  <c r="M19" i="33" s="1"/>
  <c r="Z10" i="17"/>
  <c r="U24" i="33" s="1"/>
  <c r="T14" i="22"/>
  <c r="O26" i="33" s="1"/>
  <c r="X14" i="22"/>
  <c r="S26" i="33" s="1"/>
  <c r="V17" i="10"/>
  <c r="Q5" i="33" s="1"/>
  <c r="T17" i="11"/>
  <c r="O22" i="33" s="1"/>
  <c r="P22" i="33"/>
  <c r="P11" i="33"/>
  <c r="U10" i="6"/>
  <c r="T10" i="18"/>
  <c r="O25" i="33" s="1"/>
  <c r="X10" i="17"/>
  <c r="S24" i="33" s="1"/>
  <c r="X17" i="15"/>
  <c r="S19" i="33" s="1"/>
  <c r="P26" i="33"/>
  <c r="Z8" i="34"/>
  <c r="AD8" i="34" s="1"/>
  <c r="T17" i="12"/>
  <c r="O7" i="33" s="1"/>
  <c r="Z8" i="13"/>
  <c r="Z17" i="13" s="1"/>
  <c r="U21" i="33" s="1"/>
  <c r="P8" i="33"/>
  <c r="V17" i="14"/>
  <c r="Q15" i="33" s="1"/>
  <c r="U17" i="12"/>
  <c r="X9" i="10"/>
  <c r="Z9" i="10" s="1"/>
  <c r="V11" i="21"/>
  <c r="Q17" i="33" s="1"/>
  <c r="P38" i="33"/>
  <c r="AB9" i="7"/>
  <c r="W38" i="33" s="1"/>
  <c r="X9" i="16"/>
  <c r="Z9" i="16" s="1"/>
  <c r="Z10" i="16" s="1"/>
  <c r="U11" i="33" s="1"/>
  <c r="R10" i="6"/>
  <c r="M20" i="33" s="1"/>
  <c r="X9" i="7"/>
  <c r="S38" i="33" s="1"/>
  <c r="Z17" i="12"/>
  <c r="U7" i="33" s="1"/>
  <c r="T16" i="19"/>
  <c r="O8" i="33" s="1"/>
  <c r="X8" i="20"/>
  <c r="U7" i="18"/>
  <c r="X10" i="21"/>
  <c r="Z10" i="21" s="1"/>
  <c r="AD8" i="17"/>
  <c r="X16" i="19"/>
  <c r="S8" i="33" s="1"/>
  <c r="R16" i="20"/>
  <c r="M16" i="33" s="1"/>
  <c r="R10" i="16"/>
  <c r="M11" i="33" s="1"/>
  <c r="AB8" i="19"/>
  <c r="X17" i="12"/>
  <c r="S7" i="33" s="1"/>
  <c r="V10" i="6"/>
  <c r="Q20" i="33" s="1"/>
  <c r="AB8" i="10"/>
  <c r="R17" i="12"/>
  <c r="T8" i="13"/>
  <c r="AB8" i="22"/>
  <c r="V14" i="22"/>
  <c r="Q26" i="33" s="1"/>
  <c r="F6" i="33"/>
  <c r="E6" i="33"/>
  <c r="D6" i="33"/>
  <c r="F31" i="33"/>
  <c r="E31" i="33"/>
  <c r="D31" i="33"/>
  <c r="F30" i="33"/>
  <c r="E30" i="33"/>
  <c r="D30" i="33"/>
  <c r="G24" i="33"/>
  <c r="T8" i="14"/>
  <c r="U8" i="14" s="1"/>
  <c r="AB8" i="14" s="1"/>
  <c r="X11" i="14"/>
  <c r="Z11" i="14" s="1"/>
  <c r="AB8" i="36"/>
  <c r="AC8" i="36" s="1"/>
  <c r="AA9" i="36" s="1"/>
  <c r="AB9" i="36" s="1"/>
  <c r="N17" i="36"/>
  <c r="V17" i="36"/>
  <c r="Q6" i="33" s="1"/>
  <c r="X8" i="36"/>
  <c r="T17" i="36"/>
  <c r="O6" i="33" s="1"/>
  <c r="U17" i="36"/>
  <c r="O7" i="36"/>
  <c r="L8" i="36" s="1"/>
  <c r="T13" i="35"/>
  <c r="O30" i="33" s="1"/>
  <c r="N13" i="35"/>
  <c r="O7" i="35"/>
  <c r="L8" i="35" s="1"/>
  <c r="AB8" i="35"/>
  <c r="X8" i="35"/>
  <c r="U13" i="35"/>
  <c r="N17" i="34"/>
  <c r="O7" i="34"/>
  <c r="L8" i="34" s="1"/>
  <c r="T17" i="34"/>
  <c r="O31" i="33" s="1"/>
  <c r="U8" i="34"/>
  <c r="U17" i="34" s="1"/>
  <c r="X9" i="34"/>
  <c r="Z9" i="34" s="1"/>
  <c r="AD8" i="14"/>
  <c r="AD8" i="15"/>
  <c r="T17" i="15"/>
  <c r="O19" i="33" s="1"/>
  <c r="AB8" i="15"/>
  <c r="U8" i="23"/>
  <c r="AB8" i="23" s="1"/>
  <c r="T10" i="23"/>
  <c r="U10" i="23" s="1"/>
  <c r="X11" i="23"/>
  <c r="S32" i="33" s="1"/>
  <c r="R12" i="24"/>
  <c r="M14" i="33" s="1"/>
  <c r="T12" i="24"/>
  <c r="O14" i="33" s="1"/>
  <c r="U12" i="24"/>
  <c r="AB8" i="24"/>
  <c r="X12" i="24"/>
  <c r="S14" i="33" s="1"/>
  <c r="X12" i="25"/>
  <c r="S27" i="33" s="1"/>
  <c r="AB8" i="26"/>
  <c r="T16" i="30"/>
  <c r="O10" i="33" s="1"/>
  <c r="AB8" i="28"/>
  <c r="U16" i="30"/>
  <c r="X16" i="30"/>
  <c r="S10" i="33" s="1"/>
  <c r="R11" i="31"/>
  <c r="R12" i="31" s="1"/>
  <c r="M9" i="33" s="1"/>
  <c r="Z8" i="31"/>
  <c r="Z8" i="22"/>
  <c r="AD8" i="22" s="1"/>
  <c r="X8" i="21"/>
  <c r="U16" i="20"/>
  <c r="AB8" i="20"/>
  <c r="Z16" i="19"/>
  <c r="U8" i="33" s="1"/>
  <c r="AD8" i="19"/>
  <c r="U9" i="18"/>
  <c r="R10" i="18"/>
  <c r="M25" i="33" s="1"/>
  <c r="U9" i="17"/>
  <c r="U10" i="17" s="1"/>
  <c r="R10" i="17"/>
  <c r="M24" i="33" s="1"/>
  <c r="AB8" i="17"/>
  <c r="AB8" i="16"/>
  <c r="U7" i="13"/>
  <c r="AB8" i="12"/>
  <c r="AD8" i="12"/>
  <c r="AD8" i="11"/>
  <c r="AD17" i="11" s="1"/>
  <c r="Y22" i="33" s="1"/>
  <c r="AB8" i="11"/>
  <c r="T17" i="10"/>
  <c r="O5" i="33" s="1"/>
  <c r="Z8" i="10"/>
  <c r="U7" i="10"/>
  <c r="U17" i="10" s="1"/>
  <c r="AD8" i="10"/>
  <c r="AB8" i="7"/>
  <c r="AB15" i="7" s="1"/>
  <c r="AB8" i="6"/>
  <c r="M15" i="42" l="1"/>
  <c r="O15" i="42"/>
  <c r="L16" i="42" s="1"/>
  <c r="P16" i="42" s="1"/>
  <c r="M16" i="42"/>
  <c r="O16" i="42" s="1"/>
  <c r="AD16" i="42"/>
  <c r="AA17" i="42"/>
  <c r="AB17" i="42" s="1"/>
  <c r="AC17" i="42" s="1"/>
  <c r="X42" i="33" s="1"/>
  <c r="AB16" i="42"/>
  <c r="AC16" i="42" s="1"/>
  <c r="O15" i="41"/>
  <c r="L16" i="41" s="1"/>
  <c r="P16" i="41" s="1"/>
  <c r="AB15" i="41"/>
  <c r="AC14" i="40"/>
  <c r="AA15" i="40" s="1"/>
  <c r="AD15" i="40" s="1"/>
  <c r="O14" i="40"/>
  <c r="L15" i="40" s="1"/>
  <c r="P15" i="40" s="1"/>
  <c r="AC14" i="39"/>
  <c r="AA15" i="39" s="1"/>
  <c r="AD15" i="39" s="1"/>
  <c r="O14" i="39"/>
  <c r="L15" i="39" s="1"/>
  <c r="P15" i="39" s="1"/>
  <c r="AB8" i="25"/>
  <c r="P27" i="33"/>
  <c r="P13" i="33"/>
  <c r="U11" i="32"/>
  <c r="P4" i="33" s="1"/>
  <c r="P14" i="33"/>
  <c r="T11" i="23"/>
  <c r="O32" i="33" s="1"/>
  <c r="P18" i="33"/>
  <c r="P12" i="33"/>
  <c r="T11" i="32"/>
  <c r="O4" i="33" s="1"/>
  <c r="P10" i="33"/>
  <c r="X17" i="10"/>
  <c r="S5" i="33" s="1"/>
  <c r="AD8" i="13"/>
  <c r="X10" i="16"/>
  <c r="S11" i="33" s="1"/>
  <c r="T17" i="14"/>
  <c r="O15" i="33" s="1"/>
  <c r="U17" i="14"/>
  <c r="U10" i="18"/>
  <c r="P24" i="33"/>
  <c r="P15" i="33"/>
  <c r="P7" i="33"/>
  <c r="P8" i="34"/>
  <c r="P6" i="33"/>
  <c r="P8" i="35"/>
  <c r="P31" i="33"/>
  <c r="P8" i="36"/>
  <c r="L17" i="36"/>
  <c r="M17" i="36" s="1"/>
  <c r="H6" i="33" s="1"/>
  <c r="P25" i="33"/>
  <c r="U8" i="13"/>
  <c r="AB8" i="13" s="1"/>
  <c r="T17" i="13"/>
  <c r="O21" i="33" s="1"/>
  <c r="P5" i="33"/>
  <c r="P30" i="33"/>
  <c r="Z8" i="20"/>
  <c r="AD8" i="20" s="1"/>
  <c r="X16" i="20"/>
  <c r="S16" i="33" s="1"/>
  <c r="X17" i="34"/>
  <c r="S31" i="33" s="1"/>
  <c r="P20" i="33"/>
  <c r="P16" i="33"/>
  <c r="M8" i="35"/>
  <c r="O8" i="35" s="1"/>
  <c r="L9" i="35" s="1"/>
  <c r="I6" i="33"/>
  <c r="I31" i="33"/>
  <c r="I30" i="33"/>
  <c r="X17" i="14"/>
  <c r="S15" i="33" s="1"/>
  <c r="AD9" i="36"/>
  <c r="M8" i="36"/>
  <c r="O8" i="36" s="1"/>
  <c r="L9" i="36" s="1"/>
  <c r="P9" i="36" s="1"/>
  <c r="AC9" i="36"/>
  <c r="AA10" i="36" s="1"/>
  <c r="AB10" i="36" s="1"/>
  <c r="X17" i="36"/>
  <c r="S6" i="33" s="1"/>
  <c r="Z8" i="36"/>
  <c r="Z8" i="35"/>
  <c r="X13" i="35"/>
  <c r="S30" i="33" s="1"/>
  <c r="AC8" i="35"/>
  <c r="AA9" i="35" s="1"/>
  <c r="AB9" i="35" s="1"/>
  <c r="AB8" i="34"/>
  <c r="AC8" i="34" s="1"/>
  <c r="AA9" i="34" s="1"/>
  <c r="M8" i="34"/>
  <c r="O8" i="34" s="1"/>
  <c r="L9" i="34" s="1"/>
  <c r="U11" i="23"/>
  <c r="U8" i="31"/>
  <c r="T11" i="31"/>
  <c r="T12" i="31" s="1"/>
  <c r="O9" i="33" s="1"/>
  <c r="AD8" i="31"/>
  <c r="Z11" i="31"/>
  <c r="Z12" i="31" s="1"/>
  <c r="U9" i="33" s="1"/>
  <c r="Z14" i="22"/>
  <c r="U26" i="33" s="1"/>
  <c r="Z8" i="21"/>
  <c r="X11" i="21"/>
  <c r="S17" i="33" s="1"/>
  <c r="M16" i="41" l="1"/>
  <c r="O16" i="41" s="1"/>
  <c r="AC15" i="41"/>
  <c r="AA16" i="41" s="1"/>
  <c r="AB15" i="40"/>
  <c r="AC15" i="40"/>
  <c r="AA16" i="40" s="1"/>
  <c r="AB16" i="40" s="1"/>
  <c r="AC16" i="40" s="1"/>
  <c r="M15" i="40"/>
  <c r="M15" i="39"/>
  <c r="AB15" i="39"/>
  <c r="O17" i="36"/>
  <c r="J6" i="33" s="1"/>
  <c r="P32" i="33"/>
  <c r="M9" i="35"/>
  <c r="P9" i="34"/>
  <c r="U17" i="13"/>
  <c r="AC10" i="36"/>
  <c r="AA11" i="36" s="1"/>
  <c r="AD11" i="36" s="1"/>
  <c r="AD8" i="36"/>
  <c r="M9" i="36"/>
  <c r="AD10" i="36"/>
  <c r="AD8" i="35"/>
  <c r="AB9" i="34"/>
  <c r="AC9" i="34" s="1"/>
  <c r="AA10" i="34" s="1"/>
  <c r="AD10" i="34" s="1"/>
  <c r="AD9" i="34"/>
  <c r="M9" i="34"/>
  <c r="O9" i="34" s="1"/>
  <c r="L10" i="34" s="1"/>
  <c r="P10" i="34" s="1"/>
  <c r="U11" i="31"/>
  <c r="U12" i="31" s="1"/>
  <c r="AB8" i="31"/>
  <c r="AD8" i="21"/>
  <c r="Z11" i="21"/>
  <c r="U17" i="33" s="1"/>
  <c r="AD16" i="41" l="1"/>
  <c r="AA17" i="41"/>
  <c r="AB17" i="41" s="1"/>
  <c r="AC17" i="41" s="1"/>
  <c r="X41" i="33" s="1"/>
  <c r="AB16" i="41"/>
  <c r="AC16" i="41" s="1"/>
  <c r="O15" i="40"/>
  <c r="L16" i="40" s="1"/>
  <c r="P16" i="40" s="1"/>
  <c r="AD16" i="40"/>
  <c r="AA17" i="40"/>
  <c r="AB17" i="40" s="1"/>
  <c r="AC17" i="40" s="1"/>
  <c r="X40" i="33" s="1"/>
  <c r="AC15" i="39"/>
  <c r="AA16" i="39" s="1"/>
  <c r="AB16" i="39" s="1"/>
  <c r="AC16" i="39" s="1"/>
  <c r="O15" i="39"/>
  <c r="L16" i="39" s="1"/>
  <c r="P16" i="39" s="1"/>
  <c r="P9" i="33"/>
  <c r="P21" i="33"/>
  <c r="O9" i="36"/>
  <c r="L10" i="36" s="1"/>
  <c r="P10" i="36" s="1"/>
  <c r="AB11" i="36"/>
  <c r="M10" i="34"/>
  <c r="O10" i="34" s="1"/>
  <c r="L11" i="34" s="1"/>
  <c r="AB10" i="34"/>
  <c r="M16" i="40" l="1"/>
  <c r="O16" i="40" s="1"/>
  <c r="M16" i="39"/>
  <c r="O16" i="39" s="1"/>
  <c r="AD16" i="39"/>
  <c r="AA17" i="39"/>
  <c r="AB17" i="39" s="1"/>
  <c r="AC17" i="39" s="1"/>
  <c r="X39" i="33" s="1"/>
  <c r="P11" i="34"/>
  <c r="M10" i="36"/>
  <c r="O10" i="36" s="1"/>
  <c r="L11" i="36" s="1"/>
  <c r="P11" i="36" s="1"/>
  <c r="AC11" i="36"/>
  <c r="AA12" i="36" s="1"/>
  <c r="M11" i="34"/>
  <c r="AC10" i="34"/>
  <c r="AA11" i="34" s="1"/>
  <c r="AB12" i="36" l="1"/>
  <c r="M11" i="36"/>
  <c r="AD11" i="34"/>
  <c r="AB11" i="34"/>
  <c r="O11" i="34"/>
  <c r="L12" i="34" s="1"/>
  <c r="M12" i="34" l="1"/>
  <c r="AC12" i="36"/>
  <c r="AA13" i="36" s="1"/>
  <c r="AB13" i="36" s="1"/>
  <c r="O11" i="36"/>
  <c r="L12" i="36" s="1"/>
  <c r="M12" i="36"/>
  <c r="AC11" i="34"/>
  <c r="AA12" i="34" s="1"/>
  <c r="AB12" i="34" s="1"/>
  <c r="O12" i="34"/>
  <c r="AC13" i="36" l="1"/>
  <c r="AA14" i="36" s="1"/>
  <c r="AD14" i="36" s="1"/>
  <c r="O12" i="36"/>
  <c r="AC12" i="34"/>
  <c r="AA13" i="34" s="1"/>
  <c r="AB13" i="34" s="1"/>
  <c r="L14" i="34"/>
  <c r="P14" i="34" s="1"/>
  <c r="L13" i="34"/>
  <c r="M13" i="34" l="1"/>
  <c r="L14" i="36"/>
  <c r="P14" i="36" s="1"/>
  <c r="L13" i="36"/>
  <c r="M13" i="36" s="1"/>
  <c r="AB14" i="36"/>
  <c r="AC9" i="35"/>
  <c r="AC13" i="34"/>
  <c r="AA14" i="34" s="1"/>
  <c r="AD14" i="34" s="1"/>
  <c r="M14" i="34"/>
  <c r="O13" i="34"/>
  <c r="AC14" i="36" l="1"/>
  <c r="AA15" i="36" s="1"/>
  <c r="AD15" i="36" s="1"/>
  <c r="M14" i="36"/>
  <c r="O13" i="36"/>
  <c r="AA10" i="35"/>
  <c r="AB10" i="35" s="1"/>
  <c r="O14" i="34"/>
  <c r="L15" i="34" s="1"/>
  <c r="P15" i="34" s="1"/>
  <c r="AB14" i="34"/>
  <c r="O14" i="36" l="1"/>
  <c r="L15" i="36" s="1"/>
  <c r="P15" i="36" s="1"/>
  <c r="AB15" i="36"/>
  <c r="AD10" i="35"/>
  <c r="O9" i="35"/>
  <c r="L10" i="35" s="1"/>
  <c r="AC10" i="35"/>
  <c r="AC14" i="34"/>
  <c r="AA15" i="34" s="1"/>
  <c r="AD15" i="34" s="1"/>
  <c r="M15" i="34"/>
  <c r="M15" i="36" l="1"/>
  <c r="O15" i="36" s="1"/>
  <c r="L16" i="36" s="1"/>
  <c r="P16" i="36" s="1"/>
  <c r="AC15" i="36"/>
  <c r="AA16" i="36" s="1"/>
  <c r="AA11" i="35"/>
  <c r="AB11" i="35" s="1"/>
  <c r="P10" i="35"/>
  <c r="M10" i="35"/>
  <c r="O10" i="35"/>
  <c r="O15" i="34"/>
  <c r="L16" i="34" s="1"/>
  <c r="AB15" i="34"/>
  <c r="P16" i="34" l="1"/>
  <c r="L17" i="34"/>
  <c r="M17" i="34" s="1"/>
  <c r="O17" i="34" s="1"/>
  <c r="AD16" i="36"/>
  <c r="AA17" i="36"/>
  <c r="AB16" i="36"/>
  <c r="AC16" i="36" s="1"/>
  <c r="M16" i="36"/>
  <c r="O16" i="36" s="1"/>
  <c r="AD11" i="35"/>
  <c r="L11" i="35"/>
  <c r="AC11" i="35"/>
  <c r="AA12" i="35" s="1"/>
  <c r="AB12" i="35" s="1"/>
  <c r="AC15" i="34"/>
  <c r="AA16" i="34" s="1"/>
  <c r="M16" i="34"/>
  <c r="O16" i="34" s="1"/>
  <c r="M11" i="35" l="1"/>
  <c r="V6" i="33"/>
  <c r="AB17" i="36"/>
  <c r="H31" i="33"/>
  <c r="J31" i="33"/>
  <c r="P11" i="35"/>
  <c r="AD12" i="35"/>
  <c r="AA13" i="35"/>
  <c r="AC12" i="35"/>
  <c r="O11" i="35"/>
  <c r="AD16" i="34"/>
  <c r="AA17" i="34"/>
  <c r="AB16" i="34"/>
  <c r="AC16" i="34" s="1"/>
  <c r="V31" i="33" l="1"/>
  <c r="AB17" i="34"/>
  <c r="V30" i="33"/>
  <c r="AB13" i="35"/>
  <c r="W6" i="33"/>
  <c r="AC17" i="36"/>
  <c r="X6" i="33" s="1"/>
  <c r="L12" i="35"/>
  <c r="L13" i="35"/>
  <c r="M13" i="35" l="1"/>
  <c r="M12" i="35"/>
  <c r="O12" i="35" s="1"/>
  <c r="W30" i="33"/>
  <c r="AC13" i="35"/>
  <c r="X30" i="33" s="1"/>
  <c r="W31" i="33"/>
  <c r="AC17" i="34"/>
  <c r="X31" i="33" s="1"/>
  <c r="P12" i="35"/>
  <c r="H30" i="33" l="1"/>
  <c r="O13" i="35"/>
  <c r="J30" i="33" s="1"/>
  <c r="X17" i="5"/>
  <c r="Z17" i="5" s="1"/>
  <c r="T17" i="5"/>
  <c r="U17" i="5" s="1"/>
  <c r="X16" i="5"/>
  <c r="T16" i="5"/>
  <c r="U16" i="5" s="1"/>
  <c r="X15" i="5"/>
  <c r="Z15" i="5" s="1"/>
  <c r="T15" i="5"/>
  <c r="U15" i="5" s="1"/>
  <c r="X14" i="5"/>
  <c r="T14" i="5"/>
  <c r="U14" i="5" s="1"/>
  <c r="X13" i="5"/>
  <c r="T13" i="5"/>
  <c r="U13" i="5" s="1"/>
  <c r="X12" i="5"/>
  <c r="Z12" i="5" s="1"/>
  <c r="T12" i="5"/>
  <c r="U12" i="5" s="1"/>
  <c r="X11" i="5"/>
  <c r="T11" i="5"/>
  <c r="U11" i="5" s="1"/>
  <c r="X10" i="5"/>
  <c r="Z10" i="5" s="1"/>
  <c r="T10" i="5"/>
  <c r="U10" i="5" s="1"/>
  <c r="X9" i="5"/>
  <c r="Z9" i="5" s="1"/>
  <c r="T9" i="5"/>
  <c r="U9" i="5" s="1"/>
  <c r="AA8" i="5"/>
  <c r="X8" i="5"/>
  <c r="T8" i="5"/>
  <c r="U8" i="5" s="1"/>
  <c r="AB7" i="5"/>
  <c r="U7" i="5" s="1"/>
  <c r="U18" i="5" s="1"/>
  <c r="T7" i="5"/>
  <c r="V9" i="3"/>
  <c r="X9" i="3" s="1"/>
  <c r="Z9" i="3" s="1"/>
  <c r="V8" i="3"/>
  <c r="AB7" i="3"/>
  <c r="U7" i="3" s="1"/>
  <c r="T9" i="3"/>
  <c r="U9" i="3" s="1"/>
  <c r="T8" i="3"/>
  <c r="U8" i="3" s="1"/>
  <c r="T7" i="3"/>
  <c r="R12" i="1"/>
  <c r="T12" i="1" s="1"/>
  <c r="U12" i="1" s="1"/>
  <c r="X10" i="1"/>
  <c r="R10" i="1"/>
  <c r="T10" i="1" s="1"/>
  <c r="U10" i="1" s="1"/>
  <c r="G10" i="1"/>
  <c r="K10" i="1"/>
  <c r="P10" i="1" s="1"/>
  <c r="R13" i="1"/>
  <c r="T13" i="1" s="1"/>
  <c r="U13" i="1" s="1"/>
  <c r="R11" i="1"/>
  <c r="T11" i="1" s="1"/>
  <c r="U11" i="1" s="1"/>
  <c r="R9" i="1"/>
  <c r="AB7" i="1"/>
  <c r="U7" i="1" s="1"/>
  <c r="V8" i="1"/>
  <c r="X13" i="1"/>
  <c r="X12" i="1"/>
  <c r="X11" i="1"/>
  <c r="X9" i="1"/>
  <c r="T8" i="1"/>
  <c r="U8" i="1" s="1"/>
  <c r="X7" i="1"/>
  <c r="T7" i="1"/>
  <c r="AA8" i="27"/>
  <c r="AB7" i="27"/>
  <c r="U7" i="27" s="1"/>
  <c r="V8" i="27"/>
  <c r="V9" i="27" s="1"/>
  <c r="Q23" i="33" s="1"/>
  <c r="X8" i="27"/>
  <c r="Z8" i="27" s="1"/>
  <c r="AD8" i="27" s="1"/>
  <c r="X7" i="27"/>
  <c r="T8" i="27"/>
  <c r="U8" i="27" s="1"/>
  <c r="T7" i="27"/>
  <c r="T9" i="27" s="1"/>
  <c r="O23" i="33" s="1"/>
  <c r="U11" i="9"/>
  <c r="U10" i="9"/>
  <c r="U9" i="9"/>
  <c r="V11" i="9"/>
  <c r="X11" i="9" s="1"/>
  <c r="Z11" i="9" s="1"/>
  <c r="V10" i="9"/>
  <c r="X10" i="9" s="1"/>
  <c r="Z10" i="9" s="1"/>
  <c r="V9" i="9"/>
  <c r="AA8" i="9"/>
  <c r="V8" i="9"/>
  <c r="H7" i="4"/>
  <c r="M7" i="4" s="1"/>
  <c r="N7" i="4"/>
  <c r="U9" i="4"/>
  <c r="AA8" i="4"/>
  <c r="T7" i="4"/>
  <c r="V8" i="4"/>
  <c r="V12" i="9"/>
  <c r="Y12" i="9"/>
  <c r="W12" i="9"/>
  <c r="U9" i="27" l="1"/>
  <c r="AB8" i="27"/>
  <c r="Z10" i="1"/>
  <c r="X8" i="3"/>
  <c r="Z8" i="3" s="1"/>
  <c r="V10" i="3"/>
  <c r="Q28" i="33" s="1"/>
  <c r="T9" i="1"/>
  <c r="U9" i="1" s="1"/>
  <c r="U14" i="1" s="1"/>
  <c r="R14" i="1"/>
  <c r="M33" i="33" s="1"/>
  <c r="O7" i="4"/>
  <c r="T14" i="1"/>
  <c r="O33" i="33" s="1"/>
  <c r="U10" i="3"/>
  <c r="X8" i="1"/>
  <c r="Z8" i="1" s="1"/>
  <c r="V14" i="1"/>
  <c r="Q33" i="33" s="1"/>
  <c r="P29" i="33"/>
  <c r="X18" i="5"/>
  <c r="S29" i="33" s="1"/>
  <c r="T18" i="5"/>
  <c r="O29" i="33" s="1"/>
  <c r="R35" i="33"/>
  <c r="T35" i="33"/>
  <c r="Q35" i="33"/>
  <c r="AB8" i="5"/>
  <c r="AA8" i="3"/>
  <c r="AB8" i="3" s="1"/>
  <c r="AB7" i="4"/>
  <c r="U7" i="4" s="1"/>
  <c r="P23" i="33" l="1"/>
  <c r="X14" i="1"/>
  <c r="S33" i="33" s="1"/>
  <c r="P28" i="33"/>
  <c r="P33" i="33"/>
  <c r="AD8" i="3"/>
  <c r="J8" i="17" l="1"/>
  <c r="B4" i="33"/>
  <c r="C4" i="33" s="1"/>
  <c r="J10" i="32"/>
  <c r="G10" i="32" s="1"/>
  <c r="J9" i="32"/>
  <c r="G9" i="32" s="1"/>
  <c r="J8" i="32"/>
  <c r="G8" i="32"/>
  <c r="A8" i="32"/>
  <c r="A9" i="32" s="1"/>
  <c r="A10" i="32" s="1"/>
  <c r="P7" i="32"/>
  <c r="N7" i="32"/>
  <c r="H7" i="32"/>
  <c r="M7" i="32" s="1"/>
  <c r="G13" i="1"/>
  <c r="K13" i="1"/>
  <c r="G11" i="31"/>
  <c r="J10" i="31"/>
  <c r="G10" i="31" s="1"/>
  <c r="J9" i="31"/>
  <c r="G9" i="31"/>
  <c r="J8" i="31"/>
  <c r="G8" i="31"/>
  <c r="A8" i="31"/>
  <c r="A9" i="31" s="1"/>
  <c r="A10" i="31" s="1"/>
  <c r="A11" i="31" s="1"/>
  <c r="P7" i="31"/>
  <c r="N7" i="31"/>
  <c r="N8" i="31" s="1"/>
  <c r="H7" i="31"/>
  <c r="M7" i="31" s="1"/>
  <c r="J15" i="30"/>
  <c r="G15" i="30" s="1"/>
  <c r="J14" i="30"/>
  <c r="G14" i="30" s="1"/>
  <c r="J13" i="30"/>
  <c r="G13" i="30"/>
  <c r="G12" i="30"/>
  <c r="G11" i="30"/>
  <c r="J10" i="30"/>
  <c r="G10" i="30" s="1"/>
  <c r="J9" i="30"/>
  <c r="G9" i="30" s="1"/>
  <c r="J8" i="30"/>
  <c r="G8" i="30"/>
  <c r="A8" i="30"/>
  <c r="A9" i="30" s="1"/>
  <c r="A10" i="30" s="1"/>
  <c r="A11" i="30" s="1"/>
  <c r="A12" i="30" s="1"/>
  <c r="A13" i="30" s="1"/>
  <c r="A14" i="30" s="1"/>
  <c r="A15" i="30" s="1"/>
  <c r="P7" i="30"/>
  <c r="N7" i="30"/>
  <c r="N8" i="30" s="1"/>
  <c r="H7" i="30"/>
  <c r="M7" i="30" s="1"/>
  <c r="J10" i="14"/>
  <c r="J15" i="29"/>
  <c r="G15" i="29"/>
  <c r="J14" i="29"/>
  <c r="G14" i="29"/>
  <c r="J13" i="29"/>
  <c r="G13" i="29" s="1"/>
  <c r="G12" i="29"/>
  <c r="G11" i="29"/>
  <c r="J10" i="29"/>
  <c r="G10" i="29" s="1"/>
  <c r="J9" i="29"/>
  <c r="G9" i="29"/>
  <c r="J8" i="29"/>
  <c r="G8" i="29"/>
  <c r="A8" i="29"/>
  <c r="A9" i="29" s="1"/>
  <c r="A10" i="29" s="1"/>
  <c r="A11" i="29" s="1"/>
  <c r="A12" i="29" s="1"/>
  <c r="A13" i="29" s="1"/>
  <c r="A14" i="29" s="1"/>
  <c r="A15" i="29" s="1"/>
  <c r="P7" i="29"/>
  <c r="N7" i="29"/>
  <c r="H7" i="29"/>
  <c r="M7" i="29" s="1"/>
  <c r="G10" i="23"/>
  <c r="K10" i="23"/>
  <c r="Z10" i="23" s="1"/>
  <c r="J11" i="22"/>
  <c r="G11" i="22" s="1"/>
  <c r="J10" i="22"/>
  <c r="G10" i="22" s="1"/>
  <c r="G8" i="28"/>
  <c r="J15" i="28"/>
  <c r="G15" i="28" s="1"/>
  <c r="J14" i="28"/>
  <c r="G14" i="28" s="1"/>
  <c r="J13" i="28"/>
  <c r="G13" i="28" s="1"/>
  <c r="G12" i="28"/>
  <c r="G11" i="28"/>
  <c r="J10" i="28"/>
  <c r="G10" i="28"/>
  <c r="J9" i="28"/>
  <c r="G9" i="28" s="1"/>
  <c r="J8" i="28"/>
  <c r="A8" i="28"/>
  <c r="A9" i="28" s="1"/>
  <c r="A10" i="28" s="1"/>
  <c r="A11" i="28" s="1"/>
  <c r="A12" i="28" s="1"/>
  <c r="A13" i="28" s="1"/>
  <c r="A14" i="28" s="1"/>
  <c r="A15" i="28" s="1"/>
  <c r="P7" i="28"/>
  <c r="N7" i="28"/>
  <c r="N8" i="28" s="1"/>
  <c r="H7" i="28"/>
  <c r="M7" i="28" s="1"/>
  <c r="J10" i="21"/>
  <c r="G10" i="21" s="1"/>
  <c r="J9" i="21"/>
  <c r="G9" i="21" s="1"/>
  <c r="J8" i="27"/>
  <c r="G8" i="27" s="1"/>
  <c r="AD9" i="27"/>
  <c r="Y23" i="33" s="1"/>
  <c r="AA9" i="27"/>
  <c r="Z9" i="27"/>
  <c r="U23" i="33" s="1"/>
  <c r="Y9" i="27"/>
  <c r="T23" i="33" s="1"/>
  <c r="X9" i="27"/>
  <c r="S23" i="33" s="1"/>
  <c r="W9" i="27"/>
  <c r="R23" i="33" s="1"/>
  <c r="N7" i="27"/>
  <c r="N8" i="27" s="1"/>
  <c r="AC8" i="27" s="1"/>
  <c r="K7" i="27"/>
  <c r="P7" i="27" s="1"/>
  <c r="H7" i="27"/>
  <c r="M7" i="27" s="1"/>
  <c r="K11" i="26"/>
  <c r="Z11" i="26" s="1"/>
  <c r="G11" i="26"/>
  <c r="K10" i="26"/>
  <c r="Z10" i="26" s="1"/>
  <c r="G10" i="26"/>
  <c r="K9" i="26"/>
  <c r="Z9" i="26" s="1"/>
  <c r="G9" i="26"/>
  <c r="A9" i="26"/>
  <c r="A10" i="26" s="1"/>
  <c r="A11" i="26" s="1"/>
  <c r="G8" i="26"/>
  <c r="N7" i="26"/>
  <c r="N8" i="26" s="1"/>
  <c r="AC8" i="26" s="1"/>
  <c r="AA9" i="26" s="1"/>
  <c r="K7" i="26"/>
  <c r="P7" i="26" s="1"/>
  <c r="H7" i="26"/>
  <c r="M7" i="26" s="1"/>
  <c r="K11" i="25"/>
  <c r="Z11" i="25" s="1"/>
  <c r="G11" i="25"/>
  <c r="K10" i="25"/>
  <c r="Z10" i="25" s="1"/>
  <c r="G10" i="25"/>
  <c r="K9" i="25"/>
  <c r="Z9" i="25" s="1"/>
  <c r="G9" i="25"/>
  <c r="A9" i="25"/>
  <c r="A10" i="25" s="1"/>
  <c r="A11" i="25" s="1"/>
  <c r="G8" i="25"/>
  <c r="N7" i="25"/>
  <c r="K7" i="25"/>
  <c r="P7" i="25" s="1"/>
  <c r="H7" i="25"/>
  <c r="M7" i="25" s="1"/>
  <c r="K11" i="24"/>
  <c r="G11" i="24"/>
  <c r="K10" i="24"/>
  <c r="G10" i="24"/>
  <c r="K9" i="24"/>
  <c r="G9" i="24"/>
  <c r="A9" i="24"/>
  <c r="A10" i="24" s="1"/>
  <c r="A11" i="24" s="1"/>
  <c r="G8" i="24"/>
  <c r="N7" i="24"/>
  <c r="N8" i="24" s="1"/>
  <c r="AC8" i="24" s="1"/>
  <c r="AA9" i="24" s="1"/>
  <c r="K7" i="24"/>
  <c r="P7" i="24" s="1"/>
  <c r="H7" i="24"/>
  <c r="M7" i="24" s="1"/>
  <c r="K7" i="1"/>
  <c r="Z7" i="1" s="1"/>
  <c r="K9" i="1"/>
  <c r="Z9" i="1" s="1"/>
  <c r="K11" i="1"/>
  <c r="Z11" i="1" s="1"/>
  <c r="K12" i="1"/>
  <c r="A9" i="23"/>
  <c r="A10" i="23" s="1"/>
  <c r="K9" i="23"/>
  <c r="G9" i="23"/>
  <c r="K8" i="23"/>
  <c r="Z8" i="23" s="1"/>
  <c r="G8" i="23"/>
  <c r="N7" i="23"/>
  <c r="K7" i="23"/>
  <c r="P7" i="23" s="1"/>
  <c r="H7" i="23"/>
  <c r="M7" i="23" s="1"/>
  <c r="K7" i="18"/>
  <c r="K8" i="18"/>
  <c r="Z8" i="18" s="1"/>
  <c r="K9" i="18"/>
  <c r="Z9" i="18" s="1"/>
  <c r="G9" i="18"/>
  <c r="J9" i="22"/>
  <c r="G9" i="22" s="1"/>
  <c r="J8" i="22"/>
  <c r="G8" i="22" s="1"/>
  <c r="A8" i="22"/>
  <c r="A9" i="22" s="1"/>
  <c r="A10" i="22" s="1"/>
  <c r="A11" i="22" s="1"/>
  <c r="A12" i="22" s="1"/>
  <c r="A13" i="22" s="1"/>
  <c r="P7" i="22"/>
  <c r="N7" i="22"/>
  <c r="N8" i="22" s="1"/>
  <c r="H7" i="22"/>
  <c r="M7" i="22" s="1"/>
  <c r="J10" i="10"/>
  <c r="J8" i="21"/>
  <c r="G8" i="21" s="1"/>
  <c r="A8" i="21"/>
  <c r="A9" i="21" s="1"/>
  <c r="A10" i="21" s="1"/>
  <c r="P7" i="21"/>
  <c r="N7" i="21"/>
  <c r="N8" i="21" s="1"/>
  <c r="H7" i="21"/>
  <c r="M7" i="21" s="1"/>
  <c r="J9" i="19"/>
  <c r="G9" i="19" s="1"/>
  <c r="K10" i="16"/>
  <c r="G11" i="33" s="1"/>
  <c r="J8" i="16"/>
  <c r="J10" i="12"/>
  <c r="G12" i="1"/>
  <c r="A9" i="1"/>
  <c r="A10" i="1" s="1"/>
  <c r="A11" i="1" s="1"/>
  <c r="A12" i="1" s="1"/>
  <c r="A13" i="1" s="1"/>
  <c r="G9" i="1"/>
  <c r="K12" i="9"/>
  <c r="G35" i="33" s="1"/>
  <c r="J15" i="20"/>
  <c r="G15" i="20"/>
  <c r="J14" i="20"/>
  <c r="G14" i="20" s="1"/>
  <c r="J13" i="20"/>
  <c r="G13" i="20" s="1"/>
  <c r="J10" i="20"/>
  <c r="G10" i="20" s="1"/>
  <c r="G9" i="20"/>
  <c r="J8" i="20"/>
  <c r="G8" i="20" s="1"/>
  <c r="A8" i="20"/>
  <c r="A9" i="20" s="1"/>
  <c r="A10" i="20" s="1"/>
  <c r="A11" i="20" s="1"/>
  <c r="A12" i="20" s="1"/>
  <c r="A13" i="20" s="1"/>
  <c r="A14" i="20" s="1"/>
  <c r="A15" i="20" s="1"/>
  <c r="P7" i="20"/>
  <c r="N7" i="20"/>
  <c r="N8" i="20" s="1"/>
  <c r="H7" i="20"/>
  <c r="M7" i="20" s="1"/>
  <c r="A8" i="19"/>
  <c r="A9" i="19" s="1"/>
  <c r="A10" i="19" s="1"/>
  <c r="A11" i="19" s="1"/>
  <c r="A12" i="19" s="1"/>
  <c r="A13" i="19" s="1"/>
  <c r="A14" i="19" s="1"/>
  <c r="A15" i="19" s="1"/>
  <c r="J15" i="19"/>
  <c r="G15" i="19" s="1"/>
  <c r="J14" i="19"/>
  <c r="G14" i="19"/>
  <c r="J13" i="19"/>
  <c r="G13" i="19" s="1"/>
  <c r="G12" i="19"/>
  <c r="G11" i="19"/>
  <c r="J10" i="19"/>
  <c r="G10" i="19" s="1"/>
  <c r="J8" i="19"/>
  <c r="G8" i="19"/>
  <c r="P7" i="19"/>
  <c r="N7" i="19"/>
  <c r="H7" i="19"/>
  <c r="M7" i="19" s="1"/>
  <c r="J16" i="12"/>
  <c r="J15" i="12"/>
  <c r="J8" i="12"/>
  <c r="J11" i="12"/>
  <c r="G8" i="18"/>
  <c r="N7" i="18"/>
  <c r="H7" i="18"/>
  <c r="M7" i="18" s="1"/>
  <c r="G11" i="1"/>
  <c r="H16" i="20"/>
  <c r="K12" i="24"/>
  <c r="F12" i="25"/>
  <c r="H10" i="18"/>
  <c r="I16" i="19"/>
  <c r="K11" i="23"/>
  <c r="H9" i="27"/>
  <c r="H11" i="32"/>
  <c r="F16" i="28"/>
  <c r="F9" i="27"/>
  <c r="H11" i="21"/>
  <c r="K12" i="25"/>
  <c r="K10" i="18"/>
  <c r="I14" i="22"/>
  <c r="H12" i="26"/>
  <c r="I10" i="18"/>
  <c r="F16" i="20"/>
  <c r="K14" i="22"/>
  <c r="H12" i="31"/>
  <c r="I11" i="21"/>
  <c r="I16" i="29"/>
  <c r="H11" i="23"/>
  <c r="F11" i="21"/>
  <c r="F12" i="24"/>
  <c r="H14" i="22"/>
  <c r="I9" i="27"/>
  <c r="I12" i="26"/>
  <c r="F16" i="19"/>
  <c r="I11" i="32"/>
  <c r="I16" i="20"/>
  <c r="F14" i="22"/>
  <c r="F14" i="1"/>
  <c r="K14" i="1"/>
  <c r="F12" i="31"/>
  <c r="F16" i="30"/>
  <c r="H16" i="30"/>
  <c r="H16" i="29"/>
  <c r="I16" i="30"/>
  <c r="H12" i="25"/>
  <c r="K12" i="26"/>
  <c r="F16" i="29"/>
  <c r="I16" i="28"/>
  <c r="I11" i="23"/>
  <c r="I12" i="25"/>
  <c r="I14" i="1"/>
  <c r="I12" i="24"/>
  <c r="H16" i="19"/>
  <c r="H12" i="24"/>
  <c r="F11" i="23"/>
  <c r="H16" i="28"/>
  <c r="K9" i="27"/>
  <c r="I12" i="31"/>
  <c r="I18" i="31" s="1"/>
  <c r="F10" i="18"/>
  <c r="F12" i="26"/>
  <c r="F11" i="32"/>
  <c r="N18" i="31" l="1"/>
  <c r="O18" i="31" s="1"/>
  <c r="P10" i="23"/>
  <c r="N9" i="30"/>
  <c r="AC8" i="30"/>
  <c r="AA9" i="30" s="1"/>
  <c r="Z9" i="24"/>
  <c r="AD9" i="24" s="1"/>
  <c r="Z12" i="26"/>
  <c r="U13" i="33" s="1"/>
  <c r="V23" i="33"/>
  <c r="AB9" i="27"/>
  <c r="W23" i="33" s="1"/>
  <c r="P11" i="26"/>
  <c r="Z10" i="24"/>
  <c r="Z11" i="24"/>
  <c r="P11" i="24"/>
  <c r="N9" i="28"/>
  <c r="N10" i="28" s="1"/>
  <c r="N11" i="28" s="1"/>
  <c r="N12" i="28" s="1"/>
  <c r="N13" i="28" s="1"/>
  <c r="N14" i="28" s="1"/>
  <c r="N15" i="28" s="1"/>
  <c r="AC8" i="28"/>
  <c r="AA9" i="28" s="1"/>
  <c r="N8" i="19"/>
  <c r="AC8" i="19" s="1"/>
  <c r="AA9" i="19" s="1"/>
  <c r="N9" i="21"/>
  <c r="N10" i="21" s="1"/>
  <c r="AC8" i="21"/>
  <c r="AA9" i="21" s="1"/>
  <c r="N9" i="20"/>
  <c r="N10" i="20" s="1"/>
  <c r="N13" i="20" s="1"/>
  <c r="N14" i="20" s="1"/>
  <c r="N15" i="20" s="1"/>
  <c r="AC8" i="20"/>
  <c r="AA9" i="20" s="1"/>
  <c r="Z10" i="18"/>
  <c r="U25" i="33" s="1"/>
  <c r="AD8" i="18"/>
  <c r="N9" i="22"/>
  <c r="N10" i="22" s="1"/>
  <c r="N11" i="22" s="1"/>
  <c r="N12" i="22" s="1"/>
  <c r="N13" i="22" s="1"/>
  <c r="AC8" i="22"/>
  <c r="AA9" i="22" s="1"/>
  <c r="AD7" i="1"/>
  <c r="G26" i="33"/>
  <c r="F26" i="33"/>
  <c r="E26" i="33"/>
  <c r="D26" i="33"/>
  <c r="F17" i="33"/>
  <c r="E17" i="33"/>
  <c r="D17" i="33"/>
  <c r="N16" i="19"/>
  <c r="F16" i="33"/>
  <c r="E16" i="33"/>
  <c r="D16" i="33"/>
  <c r="F8" i="33"/>
  <c r="E8" i="33"/>
  <c r="D8" i="33"/>
  <c r="G25" i="33"/>
  <c r="F25" i="33"/>
  <c r="E25" i="33"/>
  <c r="D25" i="33"/>
  <c r="G33" i="33"/>
  <c r="F33" i="33"/>
  <c r="D33" i="33"/>
  <c r="M11" i="23"/>
  <c r="H32" i="33" s="1"/>
  <c r="G32" i="33"/>
  <c r="F32" i="33"/>
  <c r="E32" i="33"/>
  <c r="D32" i="33"/>
  <c r="M12" i="24"/>
  <c r="H14" i="33" s="1"/>
  <c r="G14" i="33"/>
  <c r="F14" i="33"/>
  <c r="E14" i="33"/>
  <c r="D14" i="33"/>
  <c r="M12" i="25"/>
  <c r="H27" i="33" s="1"/>
  <c r="G27" i="33"/>
  <c r="F27" i="33"/>
  <c r="E27" i="33"/>
  <c r="D27" i="33"/>
  <c r="M12" i="26"/>
  <c r="H13" i="33" s="1"/>
  <c r="G13" i="33"/>
  <c r="F13" i="33"/>
  <c r="E13" i="33"/>
  <c r="D13" i="33"/>
  <c r="N9" i="27"/>
  <c r="G23" i="33"/>
  <c r="F23" i="33"/>
  <c r="E23" i="33"/>
  <c r="D23" i="33"/>
  <c r="G18" i="33"/>
  <c r="F18" i="33"/>
  <c r="E18" i="33"/>
  <c r="D18" i="33"/>
  <c r="M16" i="30"/>
  <c r="H10" i="33" s="1"/>
  <c r="F12" i="33"/>
  <c r="E12" i="33"/>
  <c r="D12" i="33"/>
  <c r="E10" i="33"/>
  <c r="D10" i="33"/>
  <c r="AD8" i="23"/>
  <c r="P9" i="23"/>
  <c r="Z9" i="23"/>
  <c r="Z11" i="23" s="1"/>
  <c r="U32" i="33" s="1"/>
  <c r="AB9" i="24"/>
  <c r="Z12" i="25"/>
  <c r="U27" i="33" s="1"/>
  <c r="AD9" i="26"/>
  <c r="AB9" i="26"/>
  <c r="N10" i="30"/>
  <c r="N11" i="30"/>
  <c r="N12" i="30" s="1"/>
  <c r="N13" i="30" s="1"/>
  <c r="N14" i="30" s="1"/>
  <c r="N15" i="30" s="1"/>
  <c r="N9" i="31"/>
  <c r="N10" i="31" s="1"/>
  <c r="N11" i="31" s="1"/>
  <c r="AC8" i="31"/>
  <c r="AA9" i="31" s="1"/>
  <c r="N8" i="18"/>
  <c r="AC8" i="18" s="1"/>
  <c r="AA9" i="18" s="1"/>
  <c r="P12" i="1"/>
  <c r="Z12" i="1"/>
  <c r="P13" i="1"/>
  <c r="Z13" i="1"/>
  <c r="N8" i="32"/>
  <c r="F9" i="33"/>
  <c r="E9" i="33"/>
  <c r="D9" i="33"/>
  <c r="M11" i="32"/>
  <c r="H4" i="33" s="1"/>
  <c r="F4" i="33"/>
  <c r="E4" i="33"/>
  <c r="D4" i="33"/>
  <c r="N11" i="32"/>
  <c r="O7" i="32"/>
  <c r="L8" i="32" s="1"/>
  <c r="P8" i="32" s="1"/>
  <c r="N12" i="31"/>
  <c r="O7" i="31"/>
  <c r="L8" i="31" s="1"/>
  <c r="N16" i="30"/>
  <c r="O7" i="30"/>
  <c r="L8" i="30" s="1"/>
  <c r="P8" i="30" s="1"/>
  <c r="N8" i="29"/>
  <c r="N16" i="29"/>
  <c r="O7" i="29"/>
  <c r="L8" i="29" s="1"/>
  <c r="P8" i="29" s="1"/>
  <c r="N16" i="28"/>
  <c r="O7" i="28"/>
  <c r="L8" i="28" s="1"/>
  <c r="G9" i="27"/>
  <c r="J9" i="27"/>
  <c r="O7" i="27"/>
  <c r="L8" i="27" s="1"/>
  <c r="N12" i="26"/>
  <c r="G12" i="26"/>
  <c r="J12" i="26"/>
  <c r="N9" i="26"/>
  <c r="N10" i="26" s="1"/>
  <c r="N11" i="26" s="1"/>
  <c r="O7" i="26"/>
  <c r="L8" i="26" s="1"/>
  <c r="N12" i="25"/>
  <c r="G12" i="25"/>
  <c r="J12" i="25"/>
  <c r="O7" i="25"/>
  <c r="L8" i="25" s="1"/>
  <c r="P8" i="25" s="1"/>
  <c r="P12" i="25" s="1"/>
  <c r="K27" i="33" s="1"/>
  <c r="N8" i="25"/>
  <c r="AC8" i="25" s="1"/>
  <c r="N9" i="24"/>
  <c r="N10" i="24" s="1"/>
  <c r="N11" i="24" s="1"/>
  <c r="G12" i="24"/>
  <c r="J12" i="24"/>
  <c r="N12" i="24"/>
  <c r="O7" i="24"/>
  <c r="L8" i="24" s="1"/>
  <c r="P8" i="24" s="1"/>
  <c r="N11" i="23"/>
  <c r="O7" i="23"/>
  <c r="L8" i="23" s="1"/>
  <c r="P8" i="23" s="1"/>
  <c r="P11" i="23" s="1"/>
  <c r="K32" i="33" s="1"/>
  <c r="N8" i="23"/>
  <c r="AC8" i="23" s="1"/>
  <c r="AA9" i="23" s="1"/>
  <c r="N14" i="22"/>
  <c r="O7" i="22"/>
  <c r="L8" i="22" s="1"/>
  <c r="N11" i="21"/>
  <c r="O7" i="21"/>
  <c r="L8" i="21" s="1"/>
  <c r="M8" i="21" s="1"/>
  <c r="N16" i="20"/>
  <c r="O7" i="20"/>
  <c r="L8" i="20" s="1"/>
  <c r="O7" i="19"/>
  <c r="L8" i="19" s="1"/>
  <c r="N10" i="18"/>
  <c r="O7" i="18"/>
  <c r="L8" i="18" s="1"/>
  <c r="J9" i="17"/>
  <c r="G8" i="17"/>
  <c r="A8" i="17"/>
  <c r="A9" i="17" s="1"/>
  <c r="P7" i="17"/>
  <c r="N7" i="17"/>
  <c r="N8" i="17" s="1"/>
  <c r="H7" i="17"/>
  <c r="M7" i="17" s="1"/>
  <c r="J9" i="16"/>
  <c r="G9" i="16" s="1"/>
  <c r="G8" i="16"/>
  <c r="A8" i="16"/>
  <c r="A9" i="16" s="1"/>
  <c r="P7" i="16"/>
  <c r="N7" i="16"/>
  <c r="N8" i="16" s="1"/>
  <c r="H7" i="16"/>
  <c r="M7" i="16" s="1"/>
  <c r="J16" i="15"/>
  <c r="G16" i="15"/>
  <c r="G15" i="15"/>
  <c r="J14" i="15"/>
  <c r="G14" i="15"/>
  <c r="G13" i="15"/>
  <c r="G12" i="15"/>
  <c r="J11" i="15"/>
  <c r="G11" i="15" s="1"/>
  <c r="K10" i="15"/>
  <c r="G10" i="15"/>
  <c r="J9" i="15"/>
  <c r="G9" i="15" s="1"/>
  <c r="J8" i="15"/>
  <c r="G8" i="15"/>
  <c r="A8" i="15"/>
  <c r="A9" i="15" s="1"/>
  <c r="A10" i="15" s="1"/>
  <c r="A11" i="15" s="1"/>
  <c r="A12" i="15" s="1"/>
  <c r="A13" i="15" s="1"/>
  <c r="A14" i="15" s="1"/>
  <c r="A15" i="15" s="1"/>
  <c r="A16" i="15" s="1"/>
  <c r="P7" i="15"/>
  <c r="N7" i="15"/>
  <c r="H7" i="15"/>
  <c r="M7" i="15" s="1"/>
  <c r="J11" i="14"/>
  <c r="G11" i="14" s="1"/>
  <c r="G10" i="14"/>
  <c r="J9" i="14"/>
  <c r="G9" i="14" s="1"/>
  <c r="G8" i="14"/>
  <c r="A8" i="14"/>
  <c r="A9" i="14" s="1"/>
  <c r="A10" i="14" s="1"/>
  <c r="A11" i="14" s="1"/>
  <c r="A12" i="14" s="1"/>
  <c r="A13" i="14" s="1"/>
  <c r="A14" i="14" s="1"/>
  <c r="A15" i="14" s="1"/>
  <c r="P7" i="14"/>
  <c r="N7" i="14"/>
  <c r="N8" i="14" s="1"/>
  <c r="H7" i="14"/>
  <c r="M7" i="14" s="1"/>
  <c r="J16" i="13"/>
  <c r="G16" i="13" s="1"/>
  <c r="G15" i="13"/>
  <c r="J14" i="13"/>
  <c r="G14" i="13"/>
  <c r="G13" i="13"/>
  <c r="G12" i="13"/>
  <c r="J11" i="13"/>
  <c r="G11" i="13" s="1"/>
  <c r="K10" i="13"/>
  <c r="Z10" i="13" s="1"/>
  <c r="G10" i="13"/>
  <c r="J9" i="13"/>
  <c r="G8" i="13"/>
  <c r="A8" i="13"/>
  <c r="A9" i="13" s="1"/>
  <c r="A10" i="13" s="1"/>
  <c r="A11" i="13" s="1"/>
  <c r="A12" i="13" s="1"/>
  <c r="A13" i="13" s="1"/>
  <c r="A14" i="13" s="1"/>
  <c r="A15" i="13" s="1"/>
  <c r="A16" i="13" s="1"/>
  <c r="P7" i="13"/>
  <c r="N7" i="13"/>
  <c r="N8" i="13" s="1"/>
  <c r="H7" i="13"/>
  <c r="M7" i="13" s="1"/>
  <c r="G16" i="12"/>
  <c r="G15" i="12"/>
  <c r="J14" i="12"/>
  <c r="G14" i="12"/>
  <c r="G13" i="12"/>
  <c r="G12" i="12"/>
  <c r="G11" i="12"/>
  <c r="G10" i="12"/>
  <c r="J9" i="12"/>
  <c r="G9" i="12" s="1"/>
  <c r="G8" i="12"/>
  <c r="A8" i="12"/>
  <c r="A9" i="12" s="1"/>
  <c r="A10" i="12" s="1"/>
  <c r="A11" i="12" s="1"/>
  <c r="A12" i="12" s="1"/>
  <c r="A13" i="12" s="1"/>
  <c r="A14" i="12" s="1"/>
  <c r="A15" i="12" s="1"/>
  <c r="A16" i="12" s="1"/>
  <c r="P7" i="12"/>
  <c r="N7" i="12"/>
  <c r="N8" i="12" s="1"/>
  <c r="H7" i="12"/>
  <c r="M7" i="12" s="1"/>
  <c r="G8" i="11"/>
  <c r="I22" i="28"/>
  <c r="I17" i="13"/>
  <c r="I21" i="30"/>
  <c r="H17" i="15"/>
  <c r="F10" i="16"/>
  <c r="I17" i="32"/>
  <c r="I17" i="12"/>
  <c r="I17" i="14"/>
  <c r="I21" i="29"/>
  <c r="H10" i="17"/>
  <c r="I10" i="17"/>
  <c r="I17" i="15"/>
  <c r="F17" i="13"/>
  <c r="H10" i="16"/>
  <c r="I10" i="16"/>
  <c r="H17" i="14"/>
  <c r="H17" i="12"/>
  <c r="H17" i="13"/>
  <c r="F17" i="14"/>
  <c r="J10" i="17"/>
  <c r="F17" i="12"/>
  <c r="F10" i="17"/>
  <c r="N21" i="29" l="1"/>
  <c r="O21" i="29" s="1"/>
  <c r="N17" i="32"/>
  <c r="O17" i="32" s="1"/>
  <c r="N21" i="30"/>
  <c r="O21" i="30" s="1"/>
  <c r="N22" i="28"/>
  <c r="O22" i="28" s="1"/>
  <c r="F19" i="33"/>
  <c r="E19" i="33"/>
  <c r="N9" i="29"/>
  <c r="N10" i="29" s="1"/>
  <c r="N11" i="29" s="1"/>
  <c r="N12" i="29" s="1"/>
  <c r="N13" i="29" s="1"/>
  <c r="N14" i="29" s="1"/>
  <c r="N15" i="29" s="1"/>
  <c r="AC8" i="29"/>
  <c r="AA9" i="29" s="1"/>
  <c r="P8" i="27"/>
  <c r="P9" i="27" s="1"/>
  <c r="K23" i="33" s="1"/>
  <c r="L9" i="27"/>
  <c r="M9" i="27" s="1"/>
  <c r="H23" i="33" s="1"/>
  <c r="Z12" i="24"/>
  <c r="U14" i="33" s="1"/>
  <c r="AD9" i="28"/>
  <c r="AB9" i="28"/>
  <c r="AB9" i="30"/>
  <c r="AC9" i="30" s="1"/>
  <c r="AA10" i="30" s="1"/>
  <c r="AD10" i="30" s="1"/>
  <c r="AD9" i="30"/>
  <c r="P8" i="28"/>
  <c r="M8" i="28"/>
  <c r="O8" i="28" s="1"/>
  <c r="L9" i="28" s="1"/>
  <c r="Z14" i="1"/>
  <c r="U33" i="33" s="1"/>
  <c r="N9" i="19"/>
  <c r="N10" i="19" s="1"/>
  <c r="N11" i="19" s="1"/>
  <c r="N12" i="19" s="1"/>
  <c r="N13" i="19" s="1"/>
  <c r="N14" i="19" s="1"/>
  <c r="N15" i="19" s="1"/>
  <c r="K17" i="15"/>
  <c r="Z10" i="15"/>
  <c r="AB9" i="22"/>
  <c r="AD9" i="22"/>
  <c r="P8" i="20"/>
  <c r="P8" i="21"/>
  <c r="AB9" i="20"/>
  <c r="AD9" i="20"/>
  <c r="AA10" i="18"/>
  <c r="AB9" i="18"/>
  <c r="N9" i="12"/>
  <c r="N10" i="12" s="1"/>
  <c r="N11" i="12" s="1"/>
  <c r="N12" i="12" s="1"/>
  <c r="N13" i="12" s="1"/>
  <c r="N14" i="12" s="1"/>
  <c r="N15" i="12" s="1"/>
  <c r="N16" i="12" s="1"/>
  <c r="AC8" i="12"/>
  <c r="AA9" i="12" s="1"/>
  <c r="AB9" i="21"/>
  <c r="AD9" i="21"/>
  <c r="N9" i="13"/>
  <c r="N10" i="13" s="1"/>
  <c r="N11" i="13" s="1"/>
  <c r="N12" i="13" s="1"/>
  <c r="N13" i="13" s="1"/>
  <c r="N14" i="13" s="1"/>
  <c r="N15" i="13" s="1"/>
  <c r="N16" i="13" s="1"/>
  <c r="AC8" i="13"/>
  <c r="AA9" i="13" s="1"/>
  <c r="AD9" i="18"/>
  <c r="AD10" i="18" s="1"/>
  <c r="Y25" i="33" s="1"/>
  <c r="G9" i="17"/>
  <c r="AD9" i="19"/>
  <c r="AD16" i="19" s="1"/>
  <c r="Y8" i="33" s="1"/>
  <c r="AA16" i="19"/>
  <c r="AB9" i="19"/>
  <c r="AC9" i="19" s="1"/>
  <c r="J17" i="13"/>
  <c r="G9" i="13"/>
  <c r="N9" i="17"/>
  <c r="AC8" i="17"/>
  <c r="AA9" i="17" s="1"/>
  <c r="P8" i="22"/>
  <c r="M8" i="18"/>
  <c r="M9" i="18" s="1"/>
  <c r="L10" i="18"/>
  <c r="M10" i="18" s="1"/>
  <c r="H25" i="33" s="1"/>
  <c r="N9" i="16"/>
  <c r="AC8" i="16"/>
  <c r="AA9" i="16" s="1"/>
  <c r="M8" i="19"/>
  <c r="N9" i="32"/>
  <c r="N10" i="32" s="1"/>
  <c r="AC8" i="32"/>
  <c r="AA9" i="32" s="1"/>
  <c r="AC9" i="27"/>
  <c r="X23" i="33" s="1"/>
  <c r="I9" i="33"/>
  <c r="I4" i="33"/>
  <c r="I26" i="33"/>
  <c r="I17" i="33"/>
  <c r="I16" i="33"/>
  <c r="I25" i="33"/>
  <c r="J17" i="12"/>
  <c r="I8" i="33"/>
  <c r="N10" i="17"/>
  <c r="F24" i="33"/>
  <c r="E24" i="33"/>
  <c r="D24" i="33"/>
  <c r="F11" i="33"/>
  <c r="E11" i="33"/>
  <c r="D11" i="33"/>
  <c r="F21" i="33"/>
  <c r="E21" i="33"/>
  <c r="D21" i="33"/>
  <c r="F7" i="33"/>
  <c r="E7" i="33"/>
  <c r="D7" i="33"/>
  <c r="F15" i="33"/>
  <c r="E15" i="33"/>
  <c r="D15" i="33"/>
  <c r="M17" i="15"/>
  <c r="H19" i="33" s="1"/>
  <c r="I32" i="33"/>
  <c r="O11" i="23"/>
  <c r="J32" i="33" s="1"/>
  <c r="I14" i="33"/>
  <c r="O12" i="24"/>
  <c r="J14" i="33" s="1"/>
  <c r="I27" i="33"/>
  <c r="O12" i="25"/>
  <c r="J27" i="33" s="1"/>
  <c r="I13" i="33"/>
  <c r="O12" i="26"/>
  <c r="J13" i="33" s="1"/>
  <c r="I23" i="33"/>
  <c r="I18" i="33"/>
  <c r="I12" i="33"/>
  <c r="I10" i="33"/>
  <c r="O16" i="30"/>
  <c r="J10" i="33" s="1"/>
  <c r="N9" i="14"/>
  <c r="N10" i="14" s="1"/>
  <c r="N11" i="14" s="1"/>
  <c r="N12" i="14" s="1"/>
  <c r="N13" i="14" s="1"/>
  <c r="N14" i="14" s="1"/>
  <c r="N15" i="14" s="1"/>
  <c r="AC8" i="14"/>
  <c r="AA9" i="14" s="1"/>
  <c r="AD9" i="23"/>
  <c r="AB9" i="23"/>
  <c r="AC9" i="24"/>
  <c r="AA10" i="24" s="1"/>
  <c r="AB10" i="24"/>
  <c r="M8" i="24"/>
  <c r="O8" i="24" s="1"/>
  <c r="L9" i="24" s="1"/>
  <c r="AA9" i="25"/>
  <c r="AC9" i="26"/>
  <c r="AA10" i="26" s="1"/>
  <c r="AB10" i="26" s="1"/>
  <c r="P8" i="26"/>
  <c r="P12" i="26" s="1"/>
  <c r="K13" i="33" s="1"/>
  <c r="P8" i="31"/>
  <c r="AB9" i="31"/>
  <c r="AD9" i="31"/>
  <c r="N9" i="18"/>
  <c r="O11" i="32"/>
  <c r="J4" i="33" s="1"/>
  <c r="M8" i="32"/>
  <c r="M8" i="31"/>
  <c r="M8" i="30"/>
  <c r="O8" i="30" s="1"/>
  <c r="L9" i="30" s="1"/>
  <c r="P9" i="30" s="1"/>
  <c r="M8" i="29"/>
  <c r="M8" i="27"/>
  <c r="M8" i="26"/>
  <c r="N9" i="25"/>
  <c r="N10" i="25" s="1"/>
  <c r="N11" i="25" s="1"/>
  <c r="M8" i="25"/>
  <c r="M8" i="23"/>
  <c r="O8" i="23" s="1"/>
  <c r="N9" i="23"/>
  <c r="N10" i="23" s="1"/>
  <c r="M8" i="22"/>
  <c r="O8" i="21"/>
  <c r="L9" i="21" s="1"/>
  <c r="P9" i="21" s="1"/>
  <c r="M8" i="20"/>
  <c r="O8" i="20"/>
  <c r="L9" i="20" s="1"/>
  <c r="P9" i="20" s="1"/>
  <c r="P8" i="19"/>
  <c r="O8" i="18"/>
  <c r="O7" i="17"/>
  <c r="L8" i="17" s="1"/>
  <c r="N10" i="16"/>
  <c r="O7" i="16"/>
  <c r="L8" i="16" s="1"/>
  <c r="P8" i="16" s="1"/>
  <c r="N8" i="15"/>
  <c r="AC8" i="15" s="1"/>
  <c r="AA9" i="15" s="1"/>
  <c r="N17" i="15"/>
  <c r="I19" i="33" s="1"/>
  <c r="O7" i="15"/>
  <c r="L8" i="15" s="1"/>
  <c r="P8" i="15" s="1"/>
  <c r="N17" i="14"/>
  <c r="O7" i="14"/>
  <c r="L8" i="14" s="1"/>
  <c r="N17" i="13"/>
  <c r="O7" i="13"/>
  <c r="L8" i="13" s="1"/>
  <c r="M8" i="13"/>
  <c r="N17" i="12"/>
  <c r="O7" i="12"/>
  <c r="L8" i="12" s="1"/>
  <c r="O9" i="27" l="1"/>
  <c r="O10" i="18"/>
  <c r="J25" i="33" s="1"/>
  <c r="AB10" i="30"/>
  <c r="AC10" i="30" s="1"/>
  <c r="AA11" i="30" s="1"/>
  <c r="AB11" i="30" s="1"/>
  <c r="AC11" i="30" s="1"/>
  <c r="AA12" i="30" s="1"/>
  <c r="AB12" i="30" s="1"/>
  <c r="M9" i="24"/>
  <c r="P9" i="24"/>
  <c r="P9" i="28"/>
  <c r="AC9" i="28"/>
  <c r="AA10" i="28" s="1"/>
  <c r="AB10" i="28" s="1"/>
  <c r="AB9" i="29"/>
  <c r="AD9" i="29"/>
  <c r="O9" i="18"/>
  <c r="P8" i="12"/>
  <c r="AD9" i="13"/>
  <c r="AD17" i="13" s="1"/>
  <c r="Y21" i="33" s="1"/>
  <c r="AA17" i="13"/>
  <c r="AB9" i="13"/>
  <c r="P8" i="13"/>
  <c r="L17" i="13"/>
  <c r="M17" i="13" s="1"/>
  <c r="H21" i="33" s="1"/>
  <c r="P8" i="14"/>
  <c r="AB9" i="12"/>
  <c r="AD9" i="12"/>
  <c r="AA10" i="16"/>
  <c r="AB9" i="16"/>
  <c r="AC9" i="16" s="1"/>
  <c r="AD9" i="16"/>
  <c r="AD10" i="16" s="1"/>
  <c r="Y11" i="33" s="1"/>
  <c r="V25" i="33"/>
  <c r="AB10" i="18"/>
  <c r="V8" i="33"/>
  <c r="AB16" i="19"/>
  <c r="AC9" i="20"/>
  <c r="AA10" i="20" s="1"/>
  <c r="AB10" i="20"/>
  <c r="P8" i="17"/>
  <c r="AA10" i="17"/>
  <c r="AD9" i="17"/>
  <c r="AD10" i="17" s="1"/>
  <c r="Y24" i="33" s="1"/>
  <c r="AB9" i="17"/>
  <c r="AC9" i="17" s="1"/>
  <c r="AC9" i="21"/>
  <c r="AA10" i="21" s="1"/>
  <c r="AB10" i="21" s="1"/>
  <c r="AC10" i="21" s="1"/>
  <c r="AC9" i="18"/>
  <c r="AC9" i="22"/>
  <c r="AA10" i="22" s="1"/>
  <c r="AB10" i="22" s="1"/>
  <c r="AD9" i="15"/>
  <c r="AB9" i="15"/>
  <c r="AD9" i="32"/>
  <c r="AB9" i="32"/>
  <c r="I15" i="33"/>
  <c r="I24" i="33"/>
  <c r="I11" i="33"/>
  <c r="I21" i="33"/>
  <c r="I7" i="33"/>
  <c r="O17" i="15"/>
  <c r="J19" i="33" s="1"/>
  <c r="AD9" i="14"/>
  <c r="AB9" i="14"/>
  <c r="AC9" i="23"/>
  <c r="AA10" i="23" s="1"/>
  <c r="AC10" i="24"/>
  <c r="AA11" i="24" s="1"/>
  <c r="AD11" i="24" s="1"/>
  <c r="AD10" i="24"/>
  <c r="AB9" i="25"/>
  <c r="AD9" i="25"/>
  <c r="AC10" i="26"/>
  <c r="AA11" i="26" s="1"/>
  <c r="AD11" i="26" s="1"/>
  <c r="AB11" i="26"/>
  <c r="AC11" i="26" s="1"/>
  <c r="AD10" i="26"/>
  <c r="AD12" i="26" s="1"/>
  <c r="Y13" i="33" s="1"/>
  <c r="AA12" i="26"/>
  <c r="AC12" i="30"/>
  <c r="AA13" i="30" s="1"/>
  <c r="AB13" i="30"/>
  <c r="AC9" i="31"/>
  <c r="AA10" i="31" s="1"/>
  <c r="O8" i="32"/>
  <c r="L9" i="32" s="1"/>
  <c r="P9" i="32" s="1"/>
  <c r="O8" i="31"/>
  <c r="L9" i="31" s="1"/>
  <c r="M9" i="30"/>
  <c r="O8" i="29"/>
  <c r="L9" i="29" s="1"/>
  <c r="P9" i="29" s="1"/>
  <c r="M9" i="28"/>
  <c r="O8" i="27"/>
  <c r="O8" i="26"/>
  <c r="L9" i="26" s="1"/>
  <c r="P9" i="26" s="1"/>
  <c r="M9" i="26"/>
  <c r="O8" i="25"/>
  <c r="L9" i="25" s="1"/>
  <c r="M9" i="25" s="1"/>
  <c r="O9" i="24"/>
  <c r="L10" i="24" s="1"/>
  <c r="P10" i="24" s="1"/>
  <c r="M9" i="23"/>
  <c r="O8" i="22"/>
  <c r="L9" i="22" s="1"/>
  <c r="M9" i="22"/>
  <c r="M9" i="21"/>
  <c r="M9" i="20"/>
  <c r="O8" i="19"/>
  <c r="L9" i="19" s="1"/>
  <c r="M8" i="17"/>
  <c r="M8" i="16"/>
  <c r="N9" i="15"/>
  <c r="N10" i="15" s="1"/>
  <c r="N11" i="15" s="1"/>
  <c r="M8" i="15"/>
  <c r="O8" i="15" s="1"/>
  <c r="L9" i="15" s="1"/>
  <c r="P9" i="15" s="1"/>
  <c r="M8" i="14"/>
  <c r="O8" i="14" s="1"/>
  <c r="L9" i="14" s="1"/>
  <c r="O8" i="13"/>
  <c r="L9" i="13" s="1"/>
  <c r="P9" i="13" s="1"/>
  <c r="M8" i="12"/>
  <c r="AD12" i="24" l="1"/>
  <c r="Y14" i="33" s="1"/>
  <c r="AA12" i="24"/>
  <c r="AC10" i="28"/>
  <c r="AA11" i="28" s="1"/>
  <c r="AB11" i="28"/>
  <c r="V13" i="33"/>
  <c r="AB12" i="26"/>
  <c r="AC9" i="29"/>
  <c r="AA10" i="29" s="1"/>
  <c r="AB10" i="29" s="1"/>
  <c r="AD10" i="28"/>
  <c r="V14" i="33"/>
  <c r="AB12" i="24"/>
  <c r="P12" i="24"/>
  <c r="K14" i="33" s="1"/>
  <c r="O17" i="13"/>
  <c r="J21" i="33" s="1"/>
  <c r="AC10" i="22"/>
  <c r="AA11" i="22" s="1"/>
  <c r="AD11" i="22" s="1"/>
  <c r="AB11" i="22"/>
  <c r="P9" i="19"/>
  <c r="L16" i="19"/>
  <c r="M16" i="19" s="1"/>
  <c r="W25" i="33"/>
  <c r="AC10" i="18"/>
  <c r="X25" i="33" s="1"/>
  <c r="AC9" i="13"/>
  <c r="AA10" i="13" s="1"/>
  <c r="AD10" i="13" s="1"/>
  <c r="AB10" i="13"/>
  <c r="V11" i="33"/>
  <c r="AB10" i="16"/>
  <c r="AC9" i="15"/>
  <c r="AA10" i="15" s="1"/>
  <c r="AD10" i="15" s="1"/>
  <c r="AD10" i="20"/>
  <c r="AD10" i="22"/>
  <c r="W8" i="33"/>
  <c r="AC16" i="19"/>
  <c r="X8" i="33" s="1"/>
  <c r="AA11" i="21"/>
  <c r="AD10" i="21"/>
  <c r="AD11" i="21" s="1"/>
  <c r="Y17" i="33" s="1"/>
  <c r="V21" i="33"/>
  <c r="AB17" i="13"/>
  <c r="AA13" i="20"/>
  <c r="AD13" i="20" s="1"/>
  <c r="AC9" i="12"/>
  <c r="AA10" i="12" s="1"/>
  <c r="AB10" i="12"/>
  <c r="P9" i="22"/>
  <c r="V24" i="33"/>
  <c r="AB10" i="17"/>
  <c r="P9" i="14"/>
  <c r="AC9" i="32"/>
  <c r="AA10" i="32" s="1"/>
  <c r="AB10" i="32"/>
  <c r="AC10" i="32" s="1"/>
  <c r="AC9" i="14"/>
  <c r="AA10" i="14" s="1"/>
  <c r="AB10" i="14" s="1"/>
  <c r="N12" i="15"/>
  <c r="N13" i="15" s="1"/>
  <c r="N14" i="15" s="1"/>
  <c r="N15" i="15" s="1"/>
  <c r="N16" i="15" s="1"/>
  <c r="O9" i="23"/>
  <c r="M10" i="23"/>
  <c r="O10" i="23" s="1"/>
  <c r="AD10" i="23"/>
  <c r="AD11" i="23" s="1"/>
  <c r="Y32" i="33" s="1"/>
  <c r="AA11" i="23"/>
  <c r="AB10" i="23"/>
  <c r="AC10" i="23" s="1"/>
  <c r="AB11" i="24"/>
  <c r="AC11" i="24" s="1"/>
  <c r="AC9" i="25"/>
  <c r="AC13" i="30"/>
  <c r="AA14" i="30" s="1"/>
  <c r="AD14" i="30" s="1"/>
  <c r="AB14" i="30"/>
  <c r="AD13" i="30"/>
  <c r="P9" i="31"/>
  <c r="AD10" i="31"/>
  <c r="AA11" i="31"/>
  <c r="AA12" i="31" s="1"/>
  <c r="AB10" i="31"/>
  <c r="AC10" i="31" s="1"/>
  <c r="M9" i="32"/>
  <c r="O9" i="32"/>
  <c r="L10" i="32" s="1"/>
  <c r="P10" i="32" s="1"/>
  <c r="M9" i="31"/>
  <c r="O9" i="30"/>
  <c r="L10" i="30" s="1"/>
  <c r="P10" i="30" s="1"/>
  <c r="M9" i="29"/>
  <c r="O9" i="29" s="1"/>
  <c r="L10" i="29" s="1"/>
  <c r="P10" i="29" s="1"/>
  <c r="O9" i="28"/>
  <c r="L10" i="28" s="1"/>
  <c r="O9" i="26"/>
  <c r="L10" i="26" s="1"/>
  <c r="P10" i="26" s="1"/>
  <c r="O9" i="25"/>
  <c r="L10" i="25" s="1"/>
  <c r="P10" i="25" s="1"/>
  <c r="M10" i="24"/>
  <c r="O9" i="22"/>
  <c r="L10" i="22" s="1"/>
  <c r="P10" i="22" s="1"/>
  <c r="M10" i="22"/>
  <c r="O9" i="21"/>
  <c r="L10" i="21" s="1"/>
  <c r="M10" i="21"/>
  <c r="O9" i="20"/>
  <c r="L10" i="20" s="1"/>
  <c r="M10" i="20"/>
  <c r="M9" i="19"/>
  <c r="O8" i="17"/>
  <c r="L9" i="17" s="1"/>
  <c r="O8" i="16"/>
  <c r="L9" i="16" s="1"/>
  <c r="P9" i="16" s="1"/>
  <c r="M9" i="15"/>
  <c r="M9" i="14"/>
  <c r="M9" i="13"/>
  <c r="O8" i="12"/>
  <c r="L9" i="12" s="1"/>
  <c r="AC10" i="29" l="1"/>
  <c r="AA11" i="29" s="1"/>
  <c r="AB11" i="29" s="1"/>
  <c r="AC11" i="29" s="1"/>
  <c r="AA12" i="29" s="1"/>
  <c r="W14" i="33"/>
  <c r="AC12" i="24"/>
  <c r="X14" i="33" s="1"/>
  <c r="M10" i="25"/>
  <c r="M11" i="25" s="1"/>
  <c r="O11" i="25" s="1"/>
  <c r="V32" i="33"/>
  <c r="AB11" i="23"/>
  <c r="AD10" i="29"/>
  <c r="P10" i="28"/>
  <c r="V9" i="33"/>
  <c r="AB12" i="31"/>
  <c r="W13" i="33"/>
  <c r="AC12" i="26"/>
  <c r="X13" i="33" s="1"/>
  <c r="AC11" i="28"/>
  <c r="AA12" i="28" s="1"/>
  <c r="AB12" i="28" s="1"/>
  <c r="M10" i="30"/>
  <c r="P10" i="21"/>
  <c r="L11" i="21"/>
  <c r="M11" i="21" s="1"/>
  <c r="AC10" i="13"/>
  <c r="AA11" i="13" s="1"/>
  <c r="AD11" i="13" s="1"/>
  <c r="AB11" i="13"/>
  <c r="AC11" i="13" s="1"/>
  <c r="AA12" i="13" s="1"/>
  <c r="AB12" i="13" s="1"/>
  <c r="AC12" i="13" s="1"/>
  <c r="AA13" i="13" s="1"/>
  <c r="AB13" i="13" s="1"/>
  <c r="V17" i="33"/>
  <c r="AB11" i="21"/>
  <c r="W21" i="33"/>
  <c r="AC17" i="13"/>
  <c r="X21" i="33" s="1"/>
  <c r="W24" i="33"/>
  <c r="AC10" i="17"/>
  <c r="X24" i="33" s="1"/>
  <c r="W11" i="33"/>
  <c r="AC10" i="16"/>
  <c r="X11" i="33" s="1"/>
  <c r="P9" i="12"/>
  <c r="H8" i="33"/>
  <c r="O16" i="19"/>
  <c r="J8" i="33" s="1"/>
  <c r="P9" i="17"/>
  <c r="L10" i="17"/>
  <c r="M10" i="17" s="1"/>
  <c r="AC10" i="12"/>
  <c r="AA11" i="12" s="1"/>
  <c r="AD11" i="12" s="1"/>
  <c r="AD10" i="12"/>
  <c r="AA17" i="12"/>
  <c r="AC11" i="22"/>
  <c r="AA12" i="22" s="1"/>
  <c r="AB12" i="22"/>
  <c r="P10" i="20"/>
  <c r="AB13" i="20"/>
  <c r="AB10" i="15"/>
  <c r="AC10" i="15" s="1"/>
  <c r="AA11" i="15" s="1"/>
  <c r="AA11" i="32"/>
  <c r="AD10" i="32"/>
  <c r="AC10" i="14"/>
  <c r="AA11" i="14" s="1"/>
  <c r="AD11" i="14" s="1"/>
  <c r="AD10" i="14"/>
  <c r="AA10" i="25"/>
  <c r="AC14" i="30"/>
  <c r="AA15" i="30" s="1"/>
  <c r="AB15" i="30"/>
  <c r="AC15" i="30" s="1"/>
  <c r="AD11" i="31"/>
  <c r="AD12" i="31" s="1"/>
  <c r="Y9" i="33" s="1"/>
  <c r="M10" i="32"/>
  <c r="O9" i="31"/>
  <c r="L10" i="31" s="1"/>
  <c r="O10" i="30"/>
  <c r="L11" i="30" s="1"/>
  <c r="M11" i="30" s="1"/>
  <c r="M10" i="29"/>
  <c r="O10" i="29" s="1"/>
  <c r="L11" i="29" s="1"/>
  <c r="M10" i="28"/>
  <c r="O10" i="28" s="1"/>
  <c r="L11" i="28" s="1"/>
  <c r="M11" i="28" s="1"/>
  <c r="M10" i="26"/>
  <c r="M11" i="24"/>
  <c r="O11" i="24" s="1"/>
  <c r="O10" i="24"/>
  <c r="O10" i="22"/>
  <c r="L11" i="22" s="1"/>
  <c r="P11" i="22" s="1"/>
  <c r="O10" i="21"/>
  <c r="O10" i="20"/>
  <c r="O9" i="19"/>
  <c r="L10" i="19" s="1"/>
  <c r="P10" i="19" s="1"/>
  <c r="M9" i="17"/>
  <c r="M9" i="16"/>
  <c r="O9" i="16" s="1"/>
  <c r="O9" i="15"/>
  <c r="L10" i="15" s="1"/>
  <c r="P10" i="15" s="1"/>
  <c r="O9" i="14"/>
  <c r="L10" i="14" s="1"/>
  <c r="O9" i="13"/>
  <c r="L10" i="13" s="1"/>
  <c r="P10" i="13" s="1"/>
  <c r="M9" i="12"/>
  <c r="AB11" i="14" l="1"/>
  <c r="AA12" i="14" s="1"/>
  <c r="AB12" i="14" s="1"/>
  <c r="AA13" i="14" s="1"/>
  <c r="AB13" i="14" s="1"/>
  <c r="AB12" i="29"/>
  <c r="W32" i="33"/>
  <c r="AC11" i="23"/>
  <c r="X32" i="33" s="1"/>
  <c r="AC12" i="28"/>
  <c r="AA13" i="28" s="1"/>
  <c r="AD13" i="28" s="1"/>
  <c r="O10" i="25"/>
  <c r="W9" i="33"/>
  <c r="AC12" i="31"/>
  <c r="X9" i="33" s="1"/>
  <c r="H24" i="33"/>
  <c r="O10" i="17"/>
  <c r="J24" i="33" s="1"/>
  <c r="AC13" i="20"/>
  <c r="AA14" i="20" s="1"/>
  <c r="AB14" i="20" s="1"/>
  <c r="AC12" i="22"/>
  <c r="AA13" i="22" s="1"/>
  <c r="AD13" i="22" s="1"/>
  <c r="AB13" i="22"/>
  <c r="AC13" i="22" s="1"/>
  <c r="AC13" i="13"/>
  <c r="AA14" i="13" s="1"/>
  <c r="AD14" i="13" s="1"/>
  <c r="H17" i="33"/>
  <c r="O11" i="21"/>
  <c r="J17" i="33" s="1"/>
  <c r="W17" i="33"/>
  <c r="AC11" i="21"/>
  <c r="X17" i="33" s="1"/>
  <c r="P10" i="14"/>
  <c r="AB11" i="15"/>
  <c r="AD11" i="15"/>
  <c r="AD12" i="22"/>
  <c r="V7" i="33"/>
  <c r="AB17" i="12"/>
  <c r="AB11" i="12"/>
  <c r="AC11" i="12" s="1"/>
  <c r="AA12" i="12" s="1"/>
  <c r="AB12" i="12" s="1"/>
  <c r="AC12" i="12" s="1"/>
  <c r="AA13" i="12" s="1"/>
  <c r="AB13" i="12" s="1"/>
  <c r="V4" i="33"/>
  <c r="AB11" i="32"/>
  <c r="AC13" i="14"/>
  <c r="AA14" i="14" s="1"/>
  <c r="AD14" i="14" s="1"/>
  <c r="AD10" i="25"/>
  <c r="AB10" i="25"/>
  <c r="AD15" i="30"/>
  <c r="AA16" i="30"/>
  <c r="P10" i="31"/>
  <c r="M10" i="13"/>
  <c r="O10" i="13" s="1"/>
  <c r="L11" i="13" s="1"/>
  <c r="P11" i="13" s="1"/>
  <c r="O10" i="32"/>
  <c r="M10" i="31"/>
  <c r="O11" i="30"/>
  <c r="M11" i="29"/>
  <c r="O11" i="29"/>
  <c r="O11" i="28"/>
  <c r="O10" i="26"/>
  <c r="M11" i="26"/>
  <c r="O11" i="26" s="1"/>
  <c r="M11" i="22"/>
  <c r="O11" i="22" s="1"/>
  <c r="L12" i="22" s="1"/>
  <c r="M12" i="22" s="1"/>
  <c r="M10" i="19"/>
  <c r="O10" i="19" s="1"/>
  <c r="L11" i="19" s="1"/>
  <c r="M11" i="19" s="1"/>
  <c r="O9" i="17"/>
  <c r="M10" i="15"/>
  <c r="O10" i="15" s="1"/>
  <c r="L11" i="15" s="1"/>
  <c r="P11" i="15" s="1"/>
  <c r="M10" i="14"/>
  <c r="O9" i="12"/>
  <c r="L10" i="12" s="1"/>
  <c r="AB14" i="14" l="1"/>
  <c r="AB13" i="28"/>
  <c r="V10" i="33"/>
  <c r="AB16" i="30"/>
  <c r="AC12" i="29"/>
  <c r="AA13" i="29" s="1"/>
  <c r="AD13" i="29" s="1"/>
  <c r="AB13" i="29"/>
  <c r="AA14" i="22"/>
  <c r="AD14" i="22"/>
  <c r="Y26" i="33" s="1"/>
  <c r="AC13" i="12"/>
  <c r="AA14" i="12" s="1"/>
  <c r="AD14" i="12" s="1"/>
  <c r="AB14" i="12"/>
  <c r="W7" i="33"/>
  <c r="AC17" i="12"/>
  <c r="X7" i="33" s="1"/>
  <c r="AB14" i="13"/>
  <c r="V26" i="33"/>
  <c r="AB14" i="22"/>
  <c r="P10" i="12"/>
  <c r="L17" i="12"/>
  <c r="M17" i="12" s="1"/>
  <c r="AC14" i="20"/>
  <c r="AA15" i="20" s="1"/>
  <c r="AD15" i="20" s="1"/>
  <c r="AC11" i="15"/>
  <c r="AA12" i="15" s="1"/>
  <c r="AB12" i="15"/>
  <c r="AD14" i="20"/>
  <c r="W4" i="33"/>
  <c r="AC11" i="32"/>
  <c r="X4" i="33" s="1"/>
  <c r="O10" i="14"/>
  <c r="L11" i="14" s="1"/>
  <c r="M11" i="14" s="1"/>
  <c r="O11" i="14" s="1"/>
  <c r="AC10" i="25"/>
  <c r="O10" i="31"/>
  <c r="L11" i="31" s="1"/>
  <c r="M11" i="31"/>
  <c r="L12" i="30"/>
  <c r="M12" i="30" s="1"/>
  <c r="L13" i="30"/>
  <c r="P13" i="30" s="1"/>
  <c r="L13" i="29"/>
  <c r="P13" i="29" s="1"/>
  <c r="L12" i="29"/>
  <c r="M12" i="29" s="1"/>
  <c r="L12" i="28"/>
  <c r="L13" i="28"/>
  <c r="P13" i="28" s="1"/>
  <c r="O12" i="22"/>
  <c r="L13" i="20"/>
  <c r="P13" i="20" s="1"/>
  <c r="O11" i="19"/>
  <c r="M11" i="15"/>
  <c r="M11" i="13"/>
  <c r="O11" i="13" s="1"/>
  <c r="L12" i="13" s="1"/>
  <c r="M12" i="13" s="1"/>
  <c r="M10" i="12"/>
  <c r="O10" i="12" s="1"/>
  <c r="L11" i="12" s="1"/>
  <c r="P11" i="12" s="1"/>
  <c r="L12" i="31"/>
  <c r="AC14" i="14" l="1"/>
  <c r="AA15" i="14" s="1"/>
  <c r="AD15" i="14" s="1"/>
  <c r="AB15" i="14"/>
  <c r="AC15" i="14" s="1"/>
  <c r="M12" i="28"/>
  <c r="AC13" i="29"/>
  <c r="AA14" i="29" s="1"/>
  <c r="AD14" i="29" s="1"/>
  <c r="AB14" i="29"/>
  <c r="W10" i="33"/>
  <c r="AC16" i="30"/>
  <c r="X10" i="33" s="1"/>
  <c r="AC13" i="28"/>
  <c r="AA14" i="28" s="1"/>
  <c r="AB14" i="28" s="1"/>
  <c r="W26" i="33"/>
  <c r="AC14" i="22"/>
  <c r="X26" i="33" s="1"/>
  <c r="P11" i="14"/>
  <c r="AA16" i="20"/>
  <c r="AB15" i="20"/>
  <c r="AC15" i="20" s="1"/>
  <c r="H7" i="33"/>
  <c r="O17" i="12"/>
  <c r="J7" i="33" s="1"/>
  <c r="AC14" i="13"/>
  <c r="AA15" i="13" s="1"/>
  <c r="AD15" i="13" s="1"/>
  <c r="AB15" i="13"/>
  <c r="AC12" i="15"/>
  <c r="AA13" i="15" s="1"/>
  <c r="AB13" i="15"/>
  <c r="AC14" i="12"/>
  <c r="AA15" i="12" s="1"/>
  <c r="AD15" i="12" s="1"/>
  <c r="M13" i="20"/>
  <c r="AA17" i="14"/>
  <c r="L12" i="14"/>
  <c r="AA11" i="25"/>
  <c r="M12" i="31"/>
  <c r="O11" i="31"/>
  <c r="O12" i="30"/>
  <c r="M13" i="30"/>
  <c r="O12" i="29"/>
  <c r="M13" i="29"/>
  <c r="M13" i="28"/>
  <c r="O12" i="28"/>
  <c r="L13" i="22"/>
  <c r="L12" i="19"/>
  <c r="M12" i="19" s="1"/>
  <c r="L13" i="19"/>
  <c r="P13" i="19" s="1"/>
  <c r="O11" i="15"/>
  <c r="L12" i="15" s="1"/>
  <c r="M12" i="15" s="1"/>
  <c r="O12" i="13"/>
  <c r="M11" i="12"/>
  <c r="O11" i="12" s="1"/>
  <c r="L12" i="12" s="1"/>
  <c r="M12" i="12" s="1"/>
  <c r="AC14" i="28" l="1"/>
  <c r="AA15" i="28" s="1"/>
  <c r="AD15" i="28" s="1"/>
  <c r="AB15" i="28"/>
  <c r="AC15" i="28" s="1"/>
  <c r="AD14" i="28"/>
  <c r="AA16" i="28"/>
  <c r="AC14" i="29"/>
  <c r="AA15" i="29" s="1"/>
  <c r="AB15" i="29" s="1"/>
  <c r="AC15" i="29" s="1"/>
  <c r="V16" i="33"/>
  <c r="AB16" i="20"/>
  <c r="AC13" i="15"/>
  <c r="AA14" i="15" s="1"/>
  <c r="AD14" i="15" s="1"/>
  <c r="AB14" i="15"/>
  <c r="AC15" i="13"/>
  <c r="AA16" i="13" s="1"/>
  <c r="AD16" i="13" s="1"/>
  <c r="AB16" i="13"/>
  <c r="AC16" i="13" s="1"/>
  <c r="M13" i="22"/>
  <c r="O13" i="22" s="1"/>
  <c r="L14" i="22"/>
  <c r="M14" i="22" s="1"/>
  <c r="M12" i="14"/>
  <c r="O12" i="14" s="1"/>
  <c r="L13" i="14" s="1"/>
  <c r="V15" i="33"/>
  <c r="AB17" i="14"/>
  <c r="AB15" i="12"/>
  <c r="O12" i="31"/>
  <c r="J9" i="33" s="1"/>
  <c r="H9" i="33"/>
  <c r="AD11" i="25"/>
  <c r="AD12" i="25" s="1"/>
  <c r="Y27" i="33" s="1"/>
  <c r="AA12" i="25"/>
  <c r="AB11" i="25"/>
  <c r="J23" i="33"/>
  <c r="O13" i="30"/>
  <c r="L14" i="30" s="1"/>
  <c r="P14" i="30" s="1"/>
  <c r="O13" i="29"/>
  <c r="L14" i="29" s="1"/>
  <c r="P14" i="29" s="1"/>
  <c r="O13" i="28"/>
  <c r="L14" i="28" s="1"/>
  <c r="P14" i="28" s="1"/>
  <c r="O13" i="20"/>
  <c r="L14" i="20" s="1"/>
  <c r="P14" i="20" s="1"/>
  <c r="O12" i="19"/>
  <c r="M13" i="19"/>
  <c r="O12" i="15"/>
  <c r="L13" i="13"/>
  <c r="M13" i="13" s="1"/>
  <c r="L14" i="13"/>
  <c r="P14" i="13" s="1"/>
  <c r="O12" i="12"/>
  <c r="M14" i="20" l="1"/>
  <c r="V27" i="33"/>
  <c r="AB12" i="25"/>
  <c r="AD15" i="29"/>
  <c r="AA16" i="29"/>
  <c r="V18" i="33"/>
  <c r="AB16" i="28"/>
  <c r="AC15" i="12"/>
  <c r="AA16" i="12" s="1"/>
  <c r="AD16" i="12" s="1"/>
  <c r="AB16" i="12"/>
  <c r="AC16" i="12" s="1"/>
  <c r="H26" i="33"/>
  <c r="O14" i="22"/>
  <c r="J26" i="33" s="1"/>
  <c r="W15" i="33"/>
  <c r="AC17" i="14"/>
  <c r="X15" i="33" s="1"/>
  <c r="AC14" i="15"/>
  <c r="AA15" i="15" s="1"/>
  <c r="AB15" i="15"/>
  <c r="M13" i="14"/>
  <c r="O13" i="14" s="1"/>
  <c r="L14" i="14" s="1"/>
  <c r="W16" i="33"/>
  <c r="AC16" i="20"/>
  <c r="X16" i="33" s="1"/>
  <c r="AC11" i="25"/>
  <c r="M14" i="30"/>
  <c r="M14" i="28"/>
  <c r="M14" i="29"/>
  <c r="O14" i="29" s="1"/>
  <c r="L15" i="29" s="1"/>
  <c r="P15" i="29" s="1"/>
  <c r="O14" i="28"/>
  <c r="L15" i="28" s="1"/>
  <c r="O14" i="20"/>
  <c r="L15" i="20" s="1"/>
  <c r="O13" i="19"/>
  <c r="L14" i="19" s="1"/>
  <c r="P14" i="19" s="1"/>
  <c r="L13" i="15"/>
  <c r="M13" i="15" s="1"/>
  <c r="L14" i="15"/>
  <c r="P14" i="15" s="1"/>
  <c r="M14" i="13"/>
  <c r="O13" i="13"/>
  <c r="L13" i="12"/>
  <c r="M13" i="12" s="1"/>
  <c r="L14" i="12"/>
  <c r="P14" i="12" s="1"/>
  <c r="M14" i="14" l="1"/>
  <c r="P14" i="14"/>
  <c r="P15" i="28"/>
  <c r="L16" i="28"/>
  <c r="W18" i="33"/>
  <c r="AC16" i="28"/>
  <c r="X18" i="33" s="1"/>
  <c r="V12" i="33"/>
  <c r="AB16" i="29"/>
  <c r="W27" i="33"/>
  <c r="AC12" i="25"/>
  <c r="X27" i="33" s="1"/>
  <c r="AC15" i="15"/>
  <c r="AA16" i="15" s="1"/>
  <c r="AD16" i="15" s="1"/>
  <c r="AD15" i="15"/>
  <c r="AA17" i="15"/>
  <c r="P15" i="20"/>
  <c r="L16" i="20"/>
  <c r="M16" i="20" s="1"/>
  <c r="O14" i="30"/>
  <c r="L15" i="30" s="1"/>
  <c r="P15" i="30" s="1"/>
  <c r="M15" i="29"/>
  <c r="O15" i="29" s="1"/>
  <c r="M15" i="28"/>
  <c r="O15" i="28" s="1"/>
  <c r="M15" i="20"/>
  <c r="O15" i="20" s="1"/>
  <c r="M14" i="19"/>
  <c r="O13" i="15"/>
  <c r="M14" i="15"/>
  <c r="O14" i="13"/>
  <c r="L15" i="13" s="1"/>
  <c r="P15" i="13" s="1"/>
  <c r="O13" i="12"/>
  <c r="M14" i="12"/>
  <c r="O14" i="14" l="1"/>
  <c r="L15" i="14" s="1"/>
  <c r="P15" i="14" s="1"/>
  <c r="M15" i="14"/>
  <c r="O15" i="14" s="1"/>
  <c r="W12" i="33"/>
  <c r="AC16" i="29"/>
  <c r="X12" i="33" s="1"/>
  <c r="H16" i="33"/>
  <c r="O16" i="20"/>
  <c r="J16" i="33" s="1"/>
  <c r="V19" i="33"/>
  <c r="AB17" i="15"/>
  <c r="AB16" i="15"/>
  <c r="AC16" i="15" s="1"/>
  <c r="M15" i="30"/>
  <c r="O15" i="30" s="1"/>
  <c r="O14" i="19"/>
  <c r="L15" i="19" s="1"/>
  <c r="P15" i="19" s="1"/>
  <c r="O14" i="15"/>
  <c r="L15" i="15" s="1"/>
  <c r="P15" i="15" s="1"/>
  <c r="M15" i="13"/>
  <c r="O15" i="13" s="1"/>
  <c r="L16" i="13" s="1"/>
  <c r="P16" i="13" s="1"/>
  <c r="O14" i="12"/>
  <c r="L15" i="12" s="1"/>
  <c r="P15" i="12" s="1"/>
  <c r="W19" i="33" l="1"/>
  <c r="AC17" i="15"/>
  <c r="X19" i="33" s="1"/>
  <c r="M15" i="15"/>
  <c r="M15" i="19"/>
  <c r="O15" i="19" s="1"/>
  <c r="O15" i="15"/>
  <c r="L16" i="15" s="1"/>
  <c r="P16" i="15" s="1"/>
  <c r="M16" i="13"/>
  <c r="O16" i="13" s="1"/>
  <c r="M15" i="12"/>
  <c r="M16" i="15" l="1"/>
  <c r="O16" i="15" s="1"/>
  <c r="O15" i="12"/>
  <c r="L16" i="12" s="1"/>
  <c r="P16" i="12" s="1"/>
  <c r="L17" i="14"/>
  <c r="M17" i="14" l="1"/>
  <c r="M16" i="12"/>
  <c r="O16" i="12" s="1"/>
  <c r="H15" i="33" l="1"/>
  <c r="O17" i="14"/>
  <c r="J15" i="33" s="1"/>
  <c r="J16" i="11"/>
  <c r="G16" i="11"/>
  <c r="G15" i="11"/>
  <c r="J14" i="11"/>
  <c r="G14" i="11" s="1"/>
  <c r="G13" i="11"/>
  <c r="G12" i="11"/>
  <c r="J11" i="11"/>
  <c r="G11" i="11" s="1"/>
  <c r="K10" i="11"/>
  <c r="Z10" i="11" s="1"/>
  <c r="G10" i="11"/>
  <c r="J9" i="11"/>
  <c r="G9" i="11" s="1"/>
  <c r="A8" i="11"/>
  <c r="A9" i="11" s="1"/>
  <c r="A10" i="11" s="1"/>
  <c r="A11" i="11" s="1"/>
  <c r="A12" i="11" s="1"/>
  <c r="A13" i="11" s="1"/>
  <c r="A14" i="11" s="1"/>
  <c r="A15" i="11" s="1"/>
  <c r="A16" i="11" s="1"/>
  <c r="P7" i="11"/>
  <c r="N7" i="11"/>
  <c r="H7" i="11"/>
  <c r="M7" i="11" s="1"/>
  <c r="J16" i="10"/>
  <c r="G16" i="10"/>
  <c r="G15" i="10"/>
  <c r="J14" i="10"/>
  <c r="G14" i="10" s="1"/>
  <c r="G13" i="10"/>
  <c r="G12" i="10"/>
  <c r="J11" i="10"/>
  <c r="G11" i="10" s="1"/>
  <c r="G10" i="10"/>
  <c r="J9" i="10"/>
  <c r="G9" i="10" s="1"/>
  <c r="J8" i="10"/>
  <c r="G8" i="10" s="1"/>
  <c r="A8" i="10"/>
  <c r="A9" i="10" s="1"/>
  <c r="A10" i="10" s="1"/>
  <c r="A11" i="10" s="1"/>
  <c r="A12" i="10" s="1"/>
  <c r="A13" i="10" s="1"/>
  <c r="A14" i="10" s="1"/>
  <c r="A15" i="10" s="1"/>
  <c r="A16" i="10" s="1"/>
  <c r="P7" i="10"/>
  <c r="N7" i="10"/>
  <c r="N8" i="10" s="1"/>
  <c r="H7" i="10"/>
  <c r="M7" i="10" s="1"/>
  <c r="J9" i="9"/>
  <c r="G9" i="9" s="1"/>
  <c r="A8" i="9"/>
  <c r="A9" i="9" s="1"/>
  <c r="A10" i="9" s="1"/>
  <c r="A11" i="9" s="1"/>
  <c r="H7" i="9"/>
  <c r="M7" i="9" s="1"/>
  <c r="R12" i="9"/>
  <c r="M35" i="33" s="1"/>
  <c r="J11" i="9"/>
  <c r="G11" i="9" s="1"/>
  <c r="X8" i="9"/>
  <c r="T8" i="9"/>
  <c r="U8" i="9" s="1"/>
  <c r="J8" i="9"/>
  <c r="G8" i="9" s="1"/>
  <c r="P7" i="9"/>
  <c r="N7" i="9"/>
  <c r="V9" i="7"/>
  <c r="Q38" i="33" s="1"/>
  <c r="A8" i="7"/>
  <c r="P7" i="7"/>
  <c r="N7" i="7"/>
  <c r="H7" i="7"/>
  <c r="M7" i="7" s="1"/>
  <c r="H17" i="11"/>
  <c r="H12" i="9"/>
  <c r="F12" i="9"/>
  <c r="I12" i="9"/>
  <c r="F9" i="7"/>
  <c r="I17" i="11"/>
  <c r="H9" i="7"/>
  <c r="I17" i="10"/>
  <c r="H17" i="10"/>
  <c r="F17" i="11"/>
  <c r="I9" i="7"/>
  <c r="F17" i="10"/>
  <c r="D35" i="33" l="1"/>
  <c r="Z8" i="9"/>
  <c r="N9" i="10"/>
  <c r="N10" i="10" s="1"/>
  <c r="N11" i="10" s="1"/>
  <c r="AC8" i="10"/>
  <c r="AA9" i="10" s="1"/>
  <c r="F22" i="33"/>
  <c r="E22" i="33"/>
  <c r="D22" i="33"/>
  <c r="F5" i="33"/>
  <c r="E5" i="33"/>
  <c r="D5" i="33"/>
  <c r="F35" i="33"/>
  <c r="E35" i="33"/>
  <c r="F38" i="33"/>
  <c r="E38" i="33"/>
  <c r="D38" i="33"/>
  <c r="N12" i="10"/>
  <c r="N13" i="10" s="1"/>
  <c r="N14" i="10" s="1"/>
  <c r="N15" i="10" s="1"/>
  <c r="N16" i="10" s="1"/>
  <c r="N8" i="9"/>
  <c r="N9" i="9" s="1"/>
  <c r="N10" i="9" s="1"/>
  <c r="N11" i="9" s="1"/>
  <c r="N8" i="11"/>
  <c r="AC8" i="11" s="1"/>
  <c r="AA9" i="11" s="1"/>
  <c r="N17" i="11"/>
  <c r="O7" i="11"/>
  <c r="L8" i="11" s="1"/>
  <c r="N17" i="10"/>
  <c r="O7" i="10"/>
  <c r="L8" i="10" s="1"/>
  <c r="M8" i="10"/>
  <c r="N12" i="9"/>
  <c r="I35" i="33" s="1"/>
  <c r="O7" i="9"/>
  <c r="L8" i="9" s="1"/>
  <c r="X9" i="9"/>
  <c r="N8" i="7"/>
  <c r="N15" i="7" s="1"/>
  <c r="AC15" i="7" s="1"/>
  <c r="N9" i="7"/>
  <c r="I38" i="33" s="1"/>
  <c r="O7" i="7"/>
  <c r="L8" i="7" s="1"/>
  <c r="X12" i="9"/>
  <c r="S35" i="33" l="1"/>
  <c r="P8" i="11"/>
  <c r="L17" i="11"/>
  <c r="M17" i="11" s="1"/>
  <c r="H22" i="33" s="1"/>
  <c r="AD9" i="11"/>
  <c r="AA17" i="11"/>
  <c r="AB9" i="11"/>
  <c r="M8" i="7"/>
  <c r="O8" i="7" s="1"/>
  <c r="L15" i="7" s="1"/>
  <c r="L9" i="7"/>
  <c r="M9" i="7" s="1"/>
  <c r="H38" i="33" s="1"/>
  <c r="Z9" i="9"/>
  <c r="Z12" i="9" s="1"/>
  <c r="U35" i="33" s="1"/>
  <c r="AB9" i="10"/>
  <c r="AD9" i="10"/>
  <c r="P8" i="10"/>
  <c r="AD8" i="9"/>
  <c r="I5" i="33"/>
  <c r="I22" i="33"/>
  <c r="N9" i="11"/>
  <c r="M8" i="11"/>
  <c r="O8" i="11" s="1"/>
  <c r="L9" i="11" s="1"/>
  <c r="P9" i="11" s="1"/>
  <c r="O8" i="10"/>
  <c r="L9" i="10" s="1"/>
  <c r="P9" i="10" s="1"/>
  <c r="P8" i="9"/>
  <c r="M8" i="9"/>
  <c r="J9" i="6"/>
  <c r="G9" i="6" s="1"/>
  <c r="G8" i="6"/>
  <c r="A8" i="6"/>
  <c r="A9" i="6" s="1"/>
  <c r="P7" i="6"/>
  <c r="N7" i="6"/>
  <c r="H7" i="6"/>
  <c r="M7" i="6" s="1"/>
  <c r="A8" i="5"/>
  <c r="A9" i="5" s="1"/>
  <c r="A10" i="5" s="1"/>
  <c r="A11" i="5" s="1"/>
  <c r="A12" i="5" s="1"/>
  <c r="A13" i="5" s="1"/>
  <c r="A14" i="5" s="1"/>
  <c r="A15" i="5" s="1"/>
  <c r="A16" i="5" s="1"/>
  <c r="A17" i="5" s="1"/>
  <c r="G14" i="5"/>
  <c r="G8" i="5"/>
  <c r="G13" i="5"/>
  <c r="J10" i="5"/>
  <c r="G10" i="5" s="1"/>
  <c r="J9" i="5"/>
  <c r="G9" i="5" s="1"/>
  <c r="P7" i="5"/>
  <c r="N7" i="5"/>
  <c r="H7" i="5"/>
  <c r="X8" i="4"/>
  <c r="T8" i="4"/>
  <c r="H10" i="6"/>
  <c r="I10" i="6"/>
  <c r="F10" i="6"/>
  <c r="I18" i="5"/>
  <c r="F18" i="5"/>
  <c r="H18" i="5"/>
  <c r="O15" i="7" l="1"/>
  <c r="P15" i="7"/>
  <c r="O17" i="11"/>
  <c r="J22" i="33" s="1"/>
  <c r="O9" i="7"/>
  <c r="AC9" i="7" s="1"/>
  <c r="X38" i="33" s="1"/>
  <c r="AC9" i="10"/>
  <c r="AA10" i="10" s="1"/>
  <c r="AD10" i="10" s="1"/>
  <c r="AB10" i="10"/>
  <c r="V22" i="33"/>
  <c r="AB17" i="11"/>
  <c r="U8" i="4"/>
  <c r="T10" i="4"/>
  <c r="O34" i="33" s="1"/>
  <c r="Z8" i="4"/>
  <c r="F20" i="33"/>
  <c r="E20" i="33"/>
  <c r="D20" i="33"/>
  <c r="F29" i="33"/>
  <c r="E29" i="33"/>
  <c r="D29" i="33"/>
  <c r="N10" i="11"/>
  <c r="N11" i="11" s="1"/>
  <c r="N12" i="11" s="1"/>
  <c r="N13" i="11" s="1"/>
  <c r="N14" i="11" s="1"/>
  <c r="N15" i="11" s="1"/>
  <c r="N16" i="11" s="1"/>
  <c r="AC9" i="11"/>
  <c r="AA10" i="11" s="1"/>
  <c r="M9" i="11"/>
  <c r="M9" i="10"/>
  <c r="O8" i="9"/>
  <c r="L9" i="9" s="1"/>
  <c r="P9" i="9" s="1"/>
  <c r="N10" i="6"/>
  <c r="O7" i="6"/>
  <c r="L8" i="6" s="1"/>
  <c r="N8" i="6"/>
  <c r="N8" i="5"/>
  <c r="N18" i="5"/>
  <c r="M7" i="5"/>
  <c r="J38" i="33" l="1"/>
  <c r="AD8" i="4"/>
  <c r="N9" i="6"/>
  <c r="AC8" i="6"/>
  <c r="AA9" i="6" s="1"/>
  <c r="M8" i="6"/>
  <c r="W22" i="33"/>
  <c r="AC17" i="11"/>
  <c r="X22" i="33" s="1"/>
  <c r="N9" i="5"/>
  <c r="N10" i="5" s="1"/>
  <c r="N11" i="5" s="1"/>
  <c r="N12" i="5" s="1"/>
  <c r="N13" i="5" s="1"/>
  <c r="N14" i="5" s="1"/>
  <c r="N15" i="5" s="1"/>
  <c r="N16" i="5" s="1"/>
  <c r="N17" i="5" s="1"/>
  <c r="AC8" i="5"/>
  <c r="AA9" i="5" s="1"/>
  <c r="AB8" i="4"/>
  <c r="U10" i="4"/>
  <c r="AC10" i="10"/>
  <c r="AA11" i="10" s="1"/>
  <c r="AD11" i="10" s="1"/>
  <c r="I20" i="33"/>
  <c r="I29" i="33"/>
  <c r="AD10" i="11"/>
  <c r="AB10" i="11"/>
  <c r="O9" i="11"/>
  <c r="L10" i="11" s="1"/>
  <c r="P10" i="11" s="1"/>
  <c r="O9" i="10"/>
  <c r="L10" i="10" s="1"/>
  <c r="M9" i="9"/>
  <c r="O8" i="6"/>
  <c r="L9" i="6" s="1"/>
  <c r="P9" i="6" s="1"/>
  <c r="O7" i="5"/>
  <c r="M8" i="5"/>
  <c r="AB11" i="10" l="1"/>
  <c r="P10" i="10"/>
  <c r="AD9" i="5"/>
  <c r="AB9" i="5"/>
  <c r="P9" i="5"/>
  <c r="L10" i="6"/>
  <c r="M10" i="6" s="1"/>
  <c r="AC11" i="10"/>
  <c r="AA12" i="10" s="1"/>
  <c r="AB12" i="10"/>
  <c r="AC12" i="10" s="1"/>
  <c r="AA13" i="10" s="1"/>
  <c r="AB13" i="10" s="1"/>
  <c r="AB9" i="6"/>
  <c r="AC9" i="6" s="1"/>
  <c r="AA10" i="6"/>
  <c r="AD9" i="6"/>
  <c r="P34" i="33"/>
  <c r="AC10" i="11"/>
  <c r="AA11" i="11" s="1"/>
  <c r="AD11" i="11" s="1"/>
  <c r="M10" i="11"/>
  <c r="M10" i="10"/>
  <c r="O9" i="9"/>
  <c r="L10" i="9" s="1"/>
  <c r="M9" i="6"/>
  <c r="O9" i="6" s="1"/>
  <c r="M9" i="5"/>
  <c r="O9" i="5" s="1"/>
  <c r="M10" i="5" s="1"/>
  <c r="O10" i="5" s="1"/>
  <c r="L11" i="5" s="1"/>
  <c r="O8" i="5"/>
  <c r="P10" i="5"/>
  <c r="V20" i="33" l="1"/>
  <c r="AB10" i="6"/>
  <c r="H20" i="33"/>
  <c r="O10" i="6"/>
  <c r="J20" i="33" s="1"/>
  <c r="AC9" i="5"/>
  <c r="AA10" i="5" s="1"/>
  <c r="AB10" i="5"/>
  <c r="AC13" i="10"/>
  <c r="AA14" i="10" s="1"/>
  <c r="AD14" i="10" s="1"/>
  <c r="AB11" i="11"/>
  <c r="AC11" i="11" s="1"/>
  <c r="AA12" i="11" s="1"/>
  <c r="AB12" i="11" s="1"/>
  <c r="AC12" i="11" s="1"/>
  <c r="AA13" i="11" s="1"/>
  <c r="AB13" i="11" s="1"/>
  <c r="AC13" i="11"/>
  <c r="AA14" i="11" s="1"/>
  <c r="AD14" i="11" s="1"/>
  <c r="O10" i="11"/>
  <c r="L11" i="11" s="1"/>
  <c r="P11" i="11" s="1"/>
  <c r="O10" i="10"/>
  <c r="L11" i="10" s="1"/>
  <c r="M11" i="10"/>
  <c r="M10" i="9"/>
  <c r="P11" i="10" l="1"/>
  <c r="AB14" i="11"/>
  <c r="M11" i="11"/>
  <c r="M11" i="5"/>
  <c r="O11" i="5" s="1"/>
  <c r="AB14" i="10"/>
  <c r="AC10" i="5"/>
  <c r="AA11" i="5" s="1"/>
  <c r="AB11" i="5"/>
  <c r="AD10" i="5"/>
  <c r="W20" i="33"/>
  <c r="AC10" i="6"/>
  <c r="X20" i="33" s="1"/>
  <c r="AC14" i="11"/>
  <c r="AA15" i="11" s="1"/>
  <c r="AD15" i="11" s="1"/>
  <c r="O11" i="11"/>
  <c r="L12" i="11" s="1"/>
  <c r="M12" i="11"/>
  <c r="O11" i="10"/>
  <c r="L12" i="10" s="1"/>
  <c r="O10" i="9"/>
  <c r="L11" i="9" s="1"/>
  <c r="P11" i="9" s="1"/>
  <c r="L12" i="5" l="1"/>
  <c r="M12" i="5" s="1"/>
  <c r="M12" i="10"/>
  <c r="AB15" i="11"/>
  <c r="AC11" i="5"/>
  <c r="AA12" i="5" s="1"/>
  <c r="AB12" i="5"/>
  <c r="AC12" i="5" s="1"/>
  <c r="AA13" i="5" s="1"/>
  <c r="AB13" i="5" s="1"/>
  <c r="AC13" i="5" s="1"/>
  <c r="AA14" i="5" s="1"/>
  <c r="AB14" i="5" s="1"/>
  <c r="AC14" i="10"/>
  <c r="AA15" i="10" s="1"/>
  <c r="AB15" i="10"/>
  <c r="AC15" i="11"/>
  <c r="AA16" i="11" s="1"/>
  <c r="AD16" i="11" s="1"/>
  <c r="AB16" i="11"/>
  <c r="AC16" i="11" s="1"/>
  <c r="O12" i="11"/>
  <c r="O12" i="10"/>
  <c r="M11" i="9"/>
  <c r="P12" i="5"/>
  <c r="O12" i="5" l="1"/>
  <c r="L13" i="5" s="1"/>
  <c r="M13" i="5"/>
  <c r="AC15" i="10"/>
  <c r="AA16" i="10" s="1"/>
  <c r="AD16" i="10" s="1"/>
  <c r="AB16" i="10"/>
  <c r="AC16" i="10" s="1"/>
  <c r="AD15" i="10"/>
  <c r="AA17" i="10"/>
  <c r="AC14" i="5"/>
  <c r="AA15" i="5" s="1"/>
  <c r="AD15" i="5" s="1"/>
  <c r="AD12" i="5"/>
  <c r="L13" i="11"/>
  <c r="M13" i="11" s="1"/>
  <c r="L14" i="11"/>
  <c r="P14" i="11" s="1"/>
  <c r="L14" i="10"/>
  <c r="P14" i="10" s="1"/>
  <c r="L13" i="10"/>
  <c r="O11" i="9"/>
  <c r="O13" i="5"/>
  <c r="L14" i="5" s="1"/>
  <c r="M13" i="10" l="1"/>
  <c r="AB15" i="5"/>
  <c r="V5" i="33"/>
  <c r="AB17" i="10"/>
  <c r="M14" i="5"/>
  <c r="O14" i="5" s="1"/>
  <c r="L15" i="5" s="1"/>
  <c r="P15" i="5" s="1"/>
  <c r="M14" i="11"/>
  <c r="O13" i="11"/>
  <c r="M14" i="10"/>
  <c r="O13" i="10"/>
  <c r="M15" i="5"/>
  <c r="O15" i="5" s="1"/>
  <c r="L16" i="5" l="1"/>
  <c r="M16" i="5" s="1"/>
  <c r="O16" i="5" s="1"/>
  <c r="L17" i="5" s="1"/>
  <c r="W5" i="33"/>
  <c r="AC17" i="10"/>
  <c r="X5" i="33" s="1"/>
  <c r="AC15" i="5"/>
  <c r="AA16" i="5" s="1"/>
  <c r="AB16" i="5"/>
  <c r="AC16" i="5" s="1"/>
  <c r="AA17" i="5" s="1"/>
  <c r="O14" i="11"/>
  <c r="L15" i="11" s="1"/>
  <c r="P15" i="11" s="1"/>
  <c r="M15" i="11"/>
  <c r="O14" i="10"/>
  <c r="L15" i="10" s="1"/>
  <c r="P15" i="10" l="1"/>
  <c r="M17" i="5"/>
  <c r="O17" i="5" s="1"/>
  <c r="L18" i="5"/>
  <c r="M18" i="5" s="1"/>
  <c r="AB17" i="5"/>
  <c r="AC17" i="5" s="1"/>
  <c r="AD17" i="5"/>
  <c r="AA18" i="5"/>
  <c r="O15" i="11"/>
  <c r="L16" i="11" s="1"/>
  <c r="P16" i="11" s="1"/>
  <c r="M15" i="10"/>
  <c r="O15" i="10"/>
  <c r="L16" i="10" s="1"/>
  <c r="P16" i="10" s="1"/>
  <c r="L17" i="10" l="1"/>
  <c r="M17" i="10" s="1"/>
  <c r="V29" i="33"/>
  <c r="AB18" i="5"/>
  <c r="H29" i="33"/>
  <c r="O18" i="5"/>
  <c r="J29" i="33" s="1"/>
  <c r="M16" i="11"/>
  <c r="O16" i="11" s="1"/>
  <c r="M16" i="10"/>
  <c r="O16" i="10" s="1"/>
  <c r="I10" i="4"/>
  <c r="F34" i="33" s="1"/>
  <c r="F10" i="4"/>
  <c r="D34" i="33" s="1"/>
  <c r="J9" i="4"/>
  <c r="G9" i="4" s="1"/>
  <c r="J8" i="4"/>
  <c r="P7" i="4"/>
  <c r="J8" i="3"/>
  <c r="G8" i="3" s="1"/>
  <c r="H7" i="3"/>
  <c r="M7" i="3" s="1"/>
  <c r="Z10" i="3"/>
  <c r="U28" i="33" s="1"/>
  <c r="Y10" i="3"/>
  <c r="T28" i="33" s="1"/>
  <c r="T51" i="33" s="1"/>
  <c r="X10" i="3"/>
  <c r="S28" i="33" s="1"/>
  <c r="W10" i="3"/>
  <c r="R28" i="33" s="1"/>
  <c r="R51" i="33" s="1"/>
  <c r="T10" i="3"/>
  <c r="O28" i="33" s="1"/>
  <c r="O51" i="33" s="1"/>
  <c r="R10" i="3"/>
  <c r="M28" i="33" s="1"/>
  <c r="M51" i="33" s="1"/>
  <c r="I10" i="3"/>
  <c r="F28" i="33" s="1"/>
  <c r="F51" i="33" s="1"/>
  <c r="F10" i="3"/>
  <c r="D28" i="33" s="1"/>
  <c r="D51" i="33" s="1"/>
  <c r="S10" i="3"/>
  <c r="N28" i="33" s="1"/>
  <c r="N51" i="33" s="1"/>
  <c r="N7" i="3"/>
  <c r="N8" i="3" s="1"/>
  <c r="AC8" i="3" s="1"/>
  <c r="AA9" i="3" s="1"/>
  <c r="AA10" i="3" s="1"/>
  <c r="H7" i="1"/>
  <c r="H14" i="1"/>
  <c r="H5" i="33" l="1"/>
  <c r="O17" i="10"/>
  <c r="J5" i="33" s="1"/>
  <c r="V28" i="33"/>
  <c r="AB10" i="3"/>
  <c r="W29" i="33"/>
  <c r="AC18" i="5"/>
  <c r="X29" i="33" s="1"/>
  <c r="E33" i="33"/>
  <c r="AB9" i="3"/>
  <c r="AD9" i="3"/>
  <c r="AD10" i="3" s="1"/>
  <c r="Y28" i="33" s="1"/>
  <c r="G14" i="1"/>
  <c r="V10" i="4"/>
  <c r="Q34" i="33" s="1"/>
  <c r="Q51" i="33" s="1"/>
  <c r="X9" i="4"/>
  <c r="G8" i="4"/>
  <c r="L8" i="4"/>
  <c r="H10" i="4"/>
  <c r="N8" i="4"/>
  <c r="AC8" i="4" s="1"/>
  <c r="N10" i="4"/>
  <c r="I34" i="33" s="1"/>
  <c r="O7" i="3"/>
  <c r="L8" i="3" s="1"/>
  <c r="N9" i="3"/>
  <c r="H10" i="3"/>
  <c r="N10" i="3"/>
  <c r="I28" i="33" s="1"/>
  <c r="Z9" i="4" l="1"/>
  <c r="Z10" i="4" s="1"/>
  <c r="U34" i="33" s="1"/>
  <c r="X10" i="4"/>
  <c r="S34" i="33" s="1"/>
  <c r="S51" i="33" s="1"/>
  <c r="E28" i="33"/>
  <c r="E51" i="33" s="1"/>
  <c r="P8" i="3"/>
  <c r="E34" i="33"/>
  <c r="W28" i="33"/>
  <c r="AC10" i="3"/>
  <c r="X28" i="33" s="1"/>
  <c r="P8" i="4"/>
  <c r="AC9" i="3"/>
  <c r="M8" i="4"/>
  <c r="AA9" i="4"/>
  <c r="N9" i="4"/>
  <c r="M8" i="3"/>
  <c r="AB9" i="4" l="1"/>
  <c r="AA10" i="4"/>
  <c r="AC9" i="4"/>
  <c r="AD9" i="4"/>
  <c r="AD10" i="4" s="1"/>
  <c r="Y34" i="33" s="1"/>
  <c r="O8" i="4"/>
  <c r="L9" i="4" s="1"/>
  <c r="O8" i="3"/>
  <c r="L9" i="3" s="1"/>
  <c r="L10" i="3" s="1"/>
  <c r="M10" i="3" s="1"/>
  <c r="H28" i="33" l="1"/>
  <c r="O10" i="3"/>
  <c r="J28" i="33" s="1"/>
  <c r="P9" i="4"/>
  <c r="P10" i="4" s="1"/>
  <c r="K34" i="33" s="1"/>
  <c r="L10" i="4"/>
  <c r="M10" i="4" s="1"/>
  <c r="V34" i="33"/>
  <c r="AB10" i="4"/>
  <c r="M9" i="4"/>
  <c r="O9" i="4" s="1"/>
  <c r="M9" i="3"/>
  <c r="O9" i="3" s="1"/>
  <c r="H34" i="33" l="1"/>
  <c r="O10" i="4"/>
  <c r="J34" i="33" s="1"/>
  <c r="W34" i="33"/>
  <c r="AC10" i="4"/>
  <c r="X34" i="33" s="1"/>
  <c r="G8" i="1"/>
  <c r="N7" i="1" l="1"/>
  <c r="M7" i="1"/>
  <c r="N8" i="1" l="1"/>
  <c r="N9" i="1" s="1"/>
  <c r="N10" i="1" s="1"/>
  <c r="N11" i="1" s="1"/>
  <c r="N12" i="1" s="1"/>
  <c r="N13" i="1" s="1"/>
  <c r="AA8" i="1"/>
  <c r="O7" i="1"/>
  <c r="L8" i="1" s="1"/>
  <c r="N14" i="1"/>
  <c r="P8" i="1" l="1"/>
  <c r="I33" i="33"/>
  <c r="I51" i="33" s="1"/>
  <c r="AB8" i="1"/>
  <c r="AC8" i="1" s="1"/>
  <c r="AA10" i="1" s="1"/>
  <c r="AD10" i="1" s="1"/>
  <c r="AD8" i="1"/>
  <c r="M8" i="1"/>
  <c r="AA9" i="1" l="1"/>
  <c r="O8" i="1"/>
  <c r="L9" i="1" s="1"/>
  <c r="AD9" i="1" l="1"/>
  <c r="AB9" i="1"/>
  <c r="AB10" i="1" s="1"/>
  <c r="M9" i="1"/>
  <c r="M10" i="1" s="1"/>
  <c r="P9" i="1"/>
  <c r="O9" i="1"/>
  <c r="L11" i="1" s="1"/>
  <c r="P7" i="3"/>
  <c r="J9" i="3"/>
  <c r="G9" i="3" s="1"/>
  <c r="P9" i="3"/>
  <c r="G11" i="5"/>
  <c r="K11" i="5"/>
  <c r="J12" i="5"/>
  <c r="G12" i="5" s="1"/>
  <c r="J15" i="5"/>
  <c r="G15" i="5" s="1"/>
  <c r="G16" i="5"/>
  <c r="K16" i="5"/>
  <c r="J17" i="5"/>
  <c r="G17" i="5" s="1"/>
  <c r="P17" i="5"/>
  <c r="L14" i="1"/>
  <c r="M14" i="1" l="1"/>
  <c r="P11" i="5"/>
  <c r="Z11" i="5"/>
  <c r="AD11" i="5" s="1"/>
  <c r="P16" i="5"/>
  <c r="Z16" i="5"/>
  <c r="AD16" i="5" s="1"/>
  <c r="P10" i="3"/>
  <c r="K28" i="33" s="1"/>
  <c r="P11" i="1"/>
  <c r="M11" i="1"/>
  <c r="M12" i="1" s="1"/>
  <c r="M13" i="1" s="1"/>
  <c r="O13" i="1" s="1"/>
  <c r="O10" i="1"/>
  <c r="AC10" i="1"/>
  <c r="AC9" i="1"/>
  <c r="AA11" i="1" s="1"/>
  <c r="AB11" i="1" s="1"/>
  <c r="O11" i="1" l="1"/>
  <c r="H33" i="33"/>
  <c r="O14" i="1"/>
  <c r="J33" i="33" s="1"/>
  <c r="AC11" i="1"/>
  <c r="AA12" i="1" s="1"/>
  <c r="AD11" i="1"/>
  <c r="J10" i="9"/>
  <c r="G10" i="9" s="1"/>
  <c r="P10" i="9"/>
  <c r="AD12" i="1" l="1"/>
  <c r="AB12" i="1"/>
  <c r="AC12" i="1" s="1"/>
  <c r="AA13" i="1" s="1"/>
  <c r="O12" i="1"/>
  <c r="P12" i="9"/>
  <c r="AD13" i="1" l="1"/>
  <c r="AD14" i="1" s="1"/>
  <c r="Y33" i="33" s="1"/>
  <c r="AA14" i="1"/>
  <c r="AB13" i="1"/>
  <c r="AC13" i="1"/>
  <c r="K35" i="33"/>
  <c r="J12" i="9"/>
  <c r="P10" i="16"/>
  <c r="V33" i="33" l="1"/>
  <c r="AB14" i="1"/>
  <c r="K11" i="33"/>
  <c r="J10" i="16"/>
  <c r="P7" i="18"/>
  <c r="P8" i="18"/>
  <c r="P9" i="18"/>
  <c r="P7" i="1"/>
  <c r="J14" i="1"/>
  <c r="P11" i="21"/>
  <c r="P14" i="1"/>
  <c r="K33" i="33" l="1"/>
  <c r="W33" i="33"/>
  <c r="AC14" i="1"/>
  <c r="X33" i="33" s="1"/>
  <c r="P10" i="18"/>
  <c r="K25" i="33" s="1"/>
  <c r="K17" i="33"/>
  <c r="J12" i="22"/>
  <c r="G12" i="22" s="1"/>
  <c r="P12" i="22"/>
  <c r="J13" i="22"/>
  <c r="G13" i="22" s="1"/>
  <c r="P13" i="22"/>
  <c r="P14" i="22"/>
  <c r="K26" i="33" l="1"/>
  <c r="J14" i="22"/>
  <c r="P10" i="17"/>
  <c r="K24" i="33" l="1"/>
  <c r="K11" i="32"/>
  <c r="P11" i="32"/>
  <c r="G4" i="33" l="1"/>
  <c r="K4" i="33"/>
  <c r="J11" i="32"/>
  <c r="K17" i="32"/>
  <c r="AB7" i="9" l="1"/>
  <c r="U7" i="9" s="1"/>
  <c r="AB8" i="9"/>
  <c r="AC8" i="9" s="1"/>
  <c r="AA9" i="9" s="1"/>
  <c r="U12" i="9"/>
  <c r="P35" i="33" l="1"/>
  <c r="P51" i="33" s="1"/>
  <c r="AD9" i="9"/>
  <c r="AB9" i="9"/>
  <c r="AC9" i="9" l="1"/>
  <c r="AA10" i="9" s="1"/>
  <c r="AD10" i="9" l="1"/>
  <c r="AB10" i="9"/>
  <c r="AC10" i="9" l="1"/>
  <c r="AA11" i="9" s="1"/>
  <c r="AB11" i="9" s="1"/>
  <c r="AC11" i="9" s="1"/>
  <c r="AA12" i="9"/>
  <c r="AB12" i="9" l="1"/>
  <c r="AC12" i="9" s="1"/>
  <c r="V35" i="33"/>
  <c r="V51" i="33" s="1"/>
  <c r="AD11" i="9"/>
  <c r="J16" i="30"/>
  <c r="J17" i="15"/>
  <c r="AD12" i="9"/>
  <c r="W35" i="33" l="1"/>
  <c r="W51" i="33" s="1"/>
  <c r="X35" i="33"/>
  <c r="X51" i="33" s="1"/>
  <c r="Y35" i="33"/>
  <c r="J12" i="14"/>
  <c r="G12" i="14" s="1"/>
  <c r="P12" i="14"/>
  <c r="Z12" i="14"/>
  <c r="AD12" i="14"/>
  <c r="P13" i="14"/>
  <c r="Z13" i="14"/>
  <c r="AD13" i="14" s="1"/>
  <c r="K15" i="33" l="1"/>
  <c r="Z17" i="14"/>
  <c r="U15" i="33" s="1"/>
  <c r="Y15" i="33"/>
  <c r="J10" i="3"/>
  <c r="G28" i="33"/>
  <c r="J10" i="4"/>
  <c r="G34" i="33"/>
  <c r="J17" i="11"/>
  <c r="G22" i="33"/>
  <c r="G17" i="33"/>
  <c r="J11" i="21"/>
  <c r="G6" i="33"/>
  <c r="J17" i="36"/>
  <c r="K17" i="10" l="1"/>
  <c r="G5" i="33" s="1"/>
  <c r="J17" i="10" l="1"/>
  <c r="K16" i="20"/>
  <c r="G16" i="33" s="1"/>
  <c r="P16" i="20"/>
  <c r="K16" i="33" l="1"/>
  <c r="J16" i="20"/>
  <c r="Z16" i="20"/>
  <c r="U16" i="33" s="1"/>
  <c r="AD16" i="20"/>
  <c r="Y16" i="33" s="1"/>
  <c r="K16" i="14"/>
  <c r="K17" i="14"/>
  <c r="G15" i="33" l="1"/>
  <c r="J17" i="14"/>
  <c r="J8" i="7"/>
  <c r="G8" i="7" s="1"/>
  <c r="P8" i="7"/>
  <c r="Z8" i="7"/>
  <c r="AD8" i="7" s="1"/>
  <c r="K9" i="7"/>
  <c r="J9" i="7" s="1"/>
  <c r="Z9" i="7"/>
  <c r="AD9" i="7"/>
  <c r="U38" i="33"/>
  <c r="Y38" i="33"/>
  <c r="P9" i="7"/>
  <c r="G38" i="33" l="1"/>
  <c r="K38" i="33"/>
  <c r="AD13" i="40" l="1"/>
  <c r="Z13" i="40"/>
  <c r="AD13" i="34"/>
  <c r="Z13" i="34"/>
  <c r="AD12" i="36"/>
  <c r="AD17" i="36"/>
  <c r="Y6" i="33"/>
  <c r="K20" i="33"/>
  <c r="P10" i="6"/>
  <c r="P8" i="6"/>
  <c r="U30" i="33"/>
  <c r="Z13" i="35"/>
  <c r="AD13" i="48"/>
  <c r="Z13" i="48"/>
  <c r="U40" i="33"/>
  <c r="Z17" i="40"/>
  <c r="P13" i="11"/>
  <c r="U43" i="33"/>
  <c r="Z17" i="43"/>
  <c r="J13" i="11"/>
  <c r="K13" i="11"/>
  <c r="Z13" i="11"/>
  <c r="AD13" i="11"/>
  <c r="U51" i="33"/>
  <c r="U5" i="33"/>
  <c r="Z17" i="10"/>
  <c r="P13" i="13"/>
  <c r="U44" i="33"/>
  <c r="Z17" i="44"/>
  <c r="Y30" i="33"/>
  <c r="Z9" i="35"/>
  <c r="AD9" i="35"/>
  <c r="AD13" i="35"/>
  <c r="J13" i="13"/>
  <c r="K13" i="13"/>
  <c r="Z13" i="13"/>
  <c r="AD13" i="13"/>
  <c r="U48" i="33"/>
  <c r="Z17" i="48"/>
  <c r="AD13" i="10"/>
  <c r="Z13" i="10"/>
  <c r="J17" i="34"/>
  <c r="K17" i="34"/>
  <c r="G31" i="33"/>
  <c r="K7" i="33"/>
  <c r="P17" i="12"/>
  <c r="P12" i="12"/>
  <c r="K12" i="33"/>
  <c r="P16" i="29"/>
  <c r="P11" i="29"/>
  <c r="Y44" i="33"/>
  <c r="AD17" i="44"/>
  <c r="Z12" i="44"/>
  <c r="AD12" i="44"/>
  <c r="U20" i="33"/>
  <c r="Z10" i="6"/>
  <c r="Z12" i="48"/>
  <c r="AD12" i="48"/>
  <c r="AD17" i="48"/>
  <c r="Y48" i="33"/>
  <c r="Y51" i="33"/>
  <c r="Y5" i="33"/>
  <c r="Z12" i="10"/>
  <c r="AD12" i="10"/>
  <c r="AD17" i="10"/>
  <c r="P12" i="28"/>
  <c r="Z12" i="40"/>
  <c r="AD12" i="40"/>
  <c r="AD17" i="40"/>
  <c r="Y40" i="33"/>
  <c r="J12" i="28"/>
  <c r="K12" i="28"/>
  <c r="Z12" i="28"/>
  <c r="AD12" i="28"/>
  <c r="U47" i="33"/>
  <c r="Z17" i="47"/>
  <c r="Y10" i="33"/>
  <c r="AD16" i="30"/>
  <c r="AD11" i="30"/>
  <c r="J10" i="6"/>
  <c r="K10" i="6"/>
  <c r="G20" i="33"/>
  <c r="Y20" i="33"/>
  <c r="AD10" i="6"/>
  <c r="J8" i="6"/>
  <c r="K8" i="6"/>
  <c r="Z8" i="6"/>
  <c r="AD8" i="6"/>
  <c r="U12" i="33"/>
  <c r="Z16" i="29"/>
  <c r="J12" i="12"/>
  <c r="K12" i="12"/>
  <c r="Z12" i="12"/>
  <c r="AD12" i="12"/>
  <c r="AD17" i="12"/>
  <c r="Y7" i="33"/>
  <c r="K31" i="33"/>
  <c r="P17" i="34"/>
  <c r="P12" i="34"/>
  <c r="K41" i="33"/>
  <c r="P17" i="41"/>
  <c r="P12" i="41"/>
  <c r="K45" i="33"/>
  <c r="P17" i="45"/>
  <c r="P12" i="45"/>
  <c r="K49" i="33"/>
  <c r="P17" i="49"/>
  <c r="P12" i="49"/>
  <c r="H51" i="33"/>
  <c r="H12" i="33"/>
  <c r="AD13" i="5"/>
  <c r="Z13" i="5"/>
  <c r="P13" i="43"/>
  <c r="K21" i="29"/>
  <c r="J13" i="48"/>
  <c r="K13" i="48"/>
  <c r="P13" i="48"/>
  <c r="J13" i="43"/>
  <c r="K13" i="43"/>
  <c r="Z13" i="43"/>
  <c r="AD13" i="43"/>
  <c r="J12" i="31"/>
  <c r="K12" i="31"/>
  <c r="G9" i="33"/>
  <c r="Y12" i="33"/>
  <c r="Z11" i="29"/>
  <c r="AD11" i="29"/>
  <c r="AD16" i="29"/>
  <c r="K21" i="33"/>
  <c r="P17" i="13"/>
  <c r="P12" i="13"/>
  <c r="U41" i="33"/>
  <c r="Z17" i="41"/>
  <c r="U31" i="33"/>
  <c r="Z17" i="34"/>
  <c r="AD12" i="30"/>
  <c r="Z12" i="30"/>
  <c r="U45" i="33"/>
  <c r="Z17" i="45"/>
  <c r="U49" i="33"/>
  <c r="Z17" i="49"/>
  <c r="K48" i="33"/>
  <c r="P17" i="48"/>
  <c r="J12" i="48"/>
  <c r="K12" i="48"/>
  <c r="P12" i="48"/>
  <c r="AD13" i="39"/>
  <c r="Z13" i="39"/>
  <c r="P13" i="12"/>
  <c r="J13" i="39"/>
  <c r="K13" i="39"/>
  <c r="P13" i="39"/>
  <c r="J13" i="12"/>
  <c r="K13" i="12"/>
  <c r="Z13" i="12"/>
  <c r="AD13" i="12"/>
  <c r="P12" i="29"/>
  <c r="J12" i="29"/>
  <c r="K12" i="29"/>
  <c r="Z12" i="29"/>
  <c r="AD12" i="29"/>
  <c r="K8" i="33"/>
  <c r="P16" i="19"/>
  <c r="P11" i="19"/>
  <c r="J16" i="28"/>
  <c r="K22" i="33"/>
  <c r="P17" i="11"/>
  <c r="P12" i="11"/>
  <c r="AD13" i="50"/>
  <c r="Z13" i="50"/>
  <c r="J16" i="29"/>
  <c r="G12" i="33"/>
  <c r="H18" i="33"/>
  <c r="U19" i="33"/>
  <c r="Z17" i="15"/>
  <c r="K16" i="28"/>
  <c r="M16" i="28"/>
  <c r="O16" i="28"/>
  <c r="J18" i="33"/>
  <c r="P12" i="15"/>
  <c r="J13" i="50"/>
  <c r="K13" i="50"/>
  <c r="P13" i="50"/>
  <c r="AD13" i="44"/>
  <c r="Z13" i="44"/>
  <c r="J12" i="49"/>
  <c r="K12" i="49"/>
  <c r="Z12" i="49"/>
  <c r="AD12" i="49"/>
  <c r="AD17" i="49"/>
  <c r="Y49" i="33"/>
  <c r="Y31" i="33"/>
  <c r="AD17" i="34"/>
  <c r="J12" i="34"/>
  <c r="K12" i="34"/>
  <c r="Z12" i="34"/>
  <c r="AD12" i="34"/>
  <c r="P14" i="5"/>
  <c r="J14" i="5"/>
  <c r="K14" i="5"/>
  <c r="Z14" i="5"/>
  <c r="AD14" i="5"/>
  <c r="G29" i="33"/>
  <c r="K18" i="5"/>
  <c r="J18" i="5"/>
  <c r="J12" i="41"/>
  <c r="K12" i="41"/>
  <c r="Z12" i="41"/>
  <c r="AD12" i="41"/>
  <c r="AD17" i="41"/>
  <c r="Y41" i="33"/>
  <c r="J12" i="45"/>
  <c r="K12" i="45"/>
  <c r="Z12" i="45"/>
  <c r="AD12" i="45"/>
  <c r="AD17" i="45"/>
  <c r="Y45" i="33"/>
  <c r="K36" i="33"/>
  <c r="P17" i="51"/>
  <c r="P12" i="51"/>
  <c r="K42" i="33"/>
  <c r="P17" i="42"/>
  <c r="P12" i="42"/>
  <c r="K46" i="33"/>
  <c r="P17" i="46"/>
  <c r="P12" i="46"/>
  <c r="K50" i="33"/>
  <c r="P17" i="50"/>
  <c r="P12" i="50"/>
  <c r="J13" i="10"/>
  <c r="K13" i="10"/>
  <c r="P13" i="10"/>
  <c r="J13" i="44"/>
  <c r="K13" i="44"/>
  <c r="P13" i="44"/>
  <c r="U39" i="33"/>
  <c r="Z17" i="39"/>
  <c r="K44" i="33"/>
  <c r="P17" i="44"/>
  <c r="J12" i="44"/>
  <c r="K12" i="44"/>
  <c r="P12" i="44"/>
  <c r="J12" i="19"/>
  <c r="K12" i="19"/>
  <c r="P12" i="19"/>
  <c r="K9" i="33"/>
  <c r="P12" i="31"/>
  <c r="P11" i="31"/>
  <c r="J11" i="31"/>
  <c r="K11" i="31"/>
  <c r="K18" i="31"/>
  <c r="K18" i="33"/>
  <c r="P16" i="28"/>
  <c r="P11" i="28"/>
  <c r="K29" i="33"/>
  <c r="P18" i="5"/>
  <c r="P8" i="5"/>
  <c r="U50" i="33"/>
  <c r="Z17" i="50"/>
  <c r="U36" i="33"/>
  <c r="Z17" i="51"/>
  <c r="U42" i="33"/>
  <c r="Z17" i="42"/>
  <c r="U46" i="33"/>
  <c r="Z17" i="46"/>
  <c r="J13" i="5"/>
  <c r="K13" i="5"/>
  <c r="P13" i="5"/>
  <c r="J12" i="30"/>
  <c r="K12" i="30"/>
  <c r="P12" i="30"/>
  <c r="J13" i="35"/>
  <c r="K13" i="35"/>
  <c r="G30" i="33"/>
  <c r="K10" i="33"/>
  <c r="P16" i="30"/>
  <c r="P11" i="30"/>
  <c r="K22" i="28"/>
  <c r="P13" i="51"/>
  <c r="J12" i="51"/>
  <c r="K12" i="51"/>
  <c r="Z12" i="51"/>
  <c r="AD12" i="51"/>
  <c r="AD17" i="51"/>
  <c r="Y36" i="33"/>
  <c r="J13" i="51"/>
  <c r="K13" i="51"/>
  <c r="Z13" i="51"/>
  <c r="AD13" i="51"/>
  <c r="U29" i="33"/>
  <c r="Z18" i="5"/>
  <c r="P13" i="46"/>
  <c r="J12" i="42"/>
  <c r="K12" i="42"/>
  <c r="Z12" i="42"/>
  <c r="AD12" i="42"/>
  <c r="AD17" i="42"/>
  <c r="Y42" i="33"/>
  <c r="Z12" i="36"/>
  <c r="Z17" i="36"/>
  <c r="U6" i="33"/>
  <c r="J12" i="50"/>
  <c r="K12" i="50"/>
  <c r="Z12" i="50"/>
  <c r="AD12" i="50"/>
  <c r="AD17" i="50"/>
  <c r="Y50" i="33"/>
  <c r="J13" i="46"/>
  <c r="K13" i="46"/>
  <c r="Z13" i="46"/>
  <c r="AD13" i="46"/>
  <c r="K21" i="30"/>
  <c r="U18" i="33"/>
  <c r="Z16" i="28"/>
  <c r="J12" i="46"/>
  <c r="K12" i="46"/>
  <c r="Z12" i="46"/>
  <c r="AD12" i="46"/>
  <c r="AD17" i="46"/>
  <c r="Y46" i="33"/>
  <c r="J13" i="40"/>
  <c r="K13" i="40"/>
  <c r="P13" i="40"/>
  <c r="AD12" i="11"/>
  <c r="J12" i="11"/>
  <c r="K12" i="11"/>
  <c r="Z12" i="11"/>
  <c r="U10" i="33"/>
  <c r="J11" i="30"/>
  <c r="K11" i="30"/>
  <c r="Z11" i="30"/>
  <c r="Z16" i="30"/>
  <c r="J12" i="10"/>
  <c r="K12" i="10"/>
  <c r="P12" i="10"/>
  <c r="P17" i="10"/>
  <c r="K5" i="33"/>
  <c r="K51" i="33"/>
  <c r="J13" i="34"/>
  <c r="K13" i="34"/>
  <c r="P13" i="34"/>
  <c r="J12" i="13"/>
  <c r="K12" i="13"/>
  <c r="Z12" i="13"/>
  <c r="AD12" i="13"/>
  <c r="J11" i="28"/>
  <c r="K11" i="28"/>
  <c r="Z11" i="28"/>
  <c r="AD11" i="28"/>
  <c r="AD16" i="28"/>
  <c r="Y18" i="33"/>
  <c r="P13" i="36"/>
  <c r="J13" i="36"/>
  <c r="K13" i="36"/>
  <c r="Z13" i="36"/>
  <c r="AD13" i="36"/>
  <c r="Y29" i="33"/>
  <c r="AD18" i="5"/>
  <c r="J8" i="5"/>
  <c r="K8" i="5"/>
  <c r="Z8" i="5"/>
  <c r="AD8" i="5"/>
  <c r="K39" i="33"/>
  <c r="P17" i="39"/>
  <c r="P12" i="39"/>
  <c r="K43" i="33"/>
  <c r="P17" i="43"/>
  <c r="P12" i="43"/>
  <c r="K47" i="33"/>
  <c r="P17" i="47"/>
  <c r="P12" i="47"/>
  <c r="J16" i="19"/>
  <c r="AD13" i="49"/>
  <c r="Z13" i="49"/>
  <c r="J11" i="19"/>
  <c r="K11" i="19"/>
  <c r="K16" i="19"/>
  <c r="G8" i="33"/>
  <c r="G51" i="33"/>
  <c r="P13" i="15"/>
  <c r="P13" i="42"/>
  <c r="J13" i="15"/>
  <c r="K13" i="15"/>
  <c r="Z13" i="15"/>
  <c r="AD13" i="15"/>
  <c r="AD13" i="47"/>
  <c r="Z13" i="47"/>
  <c r="J13" i="49"/>
  <c r="K13" i="49"/>
  <c r="P13" i="49"/>
  <c r="J13" i="42"/>
  <c r="K13" i="42"/>
  <c r="Z13" i="42"/>
  <c r="AD13" i="42"/>
  <c r="J13" i="47"/>
  <c r="K13" i="47"/>
  <c r="P13" i="47"/>
  <c r="K6" i="33"/>
  <c r="P17" i="36"/>
  <c r="J12" i="36"/>
  <c r="K12" i="36"/>
  <c r="P12" i="36"/>
  <c r="J12" i="15"/>
  <c r="K12" i="15"/>
  <c r="Z12" i="15"/>
  <c r="AD12" i="15"/>
  <c r="AD17" i="15"/>
  <c r="Y19" i="33"/>
  <c r="K30" i="33"/>
  <c r="P13" i="35"/>
  <c r="J9" i="35"/>
  <c r="K9" i="35"/>
  <c r="P9" i="35"/>
  <c r="J11" i="29"/>
  <c r="K11" i="29"/>
  <c r="K16" i="29"/>
  <c r="M16" i="29"/>
  <c r="O16" i="29"/>
  <c r="J12" i="33"/>
  <c r="J51" i="33"/>
  <c r="P13" i="45"/>
  <c r="J13" i="45"/>
  <c r="K13" i="45"/>
  <c r="Z13" i="45"/>
  <c r="AD13" i="45"/>
  <c r="J12" i="47"/>
  <c r="K12" i="47"/>
  <c r="Z12" i="47"/>
  <c r="AD12" i="47"/>
  <c r="AD17" i="47"/>
  <c r="Y47" i="33"/>
  <c r="J12" i="39"/>
  <c r="K12" i="39"/>
  <c r="Z12" i="39"/>
  <c r="AD12" i="39"/>
  <c r="AD17" i="39"/>
  <c r="Y39" i="33"/>
  <c r="P13" i="41"/>
  <c r="J13" i="41"/>
  <c r="K13" i="41"/>
  <c r="Z13" i="41"/>
  <c r="AD13" i="41"/>
  <c r="Y43" i="33"/>
  <c r="J12" i="43"/>
  <c r="K12" i="43"/>
  <c r="Z12" i="43"/>
  <c r="AD12" i="43"/>
  <c r="AD17" i="43"/>
  <c r="K40" i="33"/>
  <c r="P17" i="40"/>
  <c r="J12" i="40"/>
  <c r="K12" i="40"/>
  <c r="P12" i="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7" authorId="0" shapeId="0" xr:uid="{41888922-DDD8-436D-A511-06DB6F42DD4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Included Bonus share 197 unit not realized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7" authorId="0" shapeId="0" xr:uid="{C47A5E88-26F2-4A05-BE7A-ED45E6CFED2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Including bonus 526 unit not realized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7" authorId="0" shapeId="0" xr:uid="{E9FF4C46-B697-4015-A2FC-87AE274590B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included bonus 83 units not realized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7" authorId="0" shapeId="0" xr:uid="{AC8F55FD-43B9-4E1A-B49E-C8BA946B56B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Including bonus 190 unit not realized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7" authorId="0" shapeId="0" xr:uid="{BEE30CB3-02DE-409D-8768-CA8897B1F9D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Included Bonus share 197 unit not realized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7" authorId="0" shapeId="0" xr:uid="{50CDD30F-8FDB-4B21-969B-9E1932C107F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Included Bonus share 197 unit not realized</t>
        </r>
      </text>
    </comment>
  </commentList>
</comments>
</file>

<file path=xl/sharedStrings.xml><?xml version="1.0" encoding="utf-8"?>
<sst xmlns="http://schemas.openxmlformats.org/spreadsheetml/2006/main" count="6820" uniqueCount="919">
  <si>
    <t>SYMBOL</t>
  </si>
  <si>
    <t>Txn Date</t>
  </si>
  <si>
    <t>Txn Type</t>
  </si>
  <si>
    <t>Purchase QTY</t>
  </si>
  <si>
    <t>PPPU</t>
  </si>
  <si>
    <t>Total Commission on Purchase</t>
  </si>
  <si>
    <t>Sales Qty</t>
  </si>
  <si>
    <t>SPPU</t>
  </si>
  <si>
    <t>Sales Amt</t>
  </si>
  <si>
    <t xml:space="preserve"> Total Commission on Sales</t>
  </si>
  <si>
    <t>Net Receivables</t>
  </si>
  <si>
    <t>P/L AP NFRS</t>
  </si>
  <si>
    <t>P/L AP TAX</t>
  </si>
  <si>
    <t>Capital Gain Tax</t>
  </si>
  <si>
    <t>TC AP NFRS</t>
  </si>
  <si>
    <t>TC AP TAX</t>
  </si>
  <si>
    <t>Unit Sum</t>
  </si>
  <si>
    <t>WACC AP NFRS</t>
  </si>
  <si>
    <t>WACC AP TAX</t>
  </si>
  <si>
    <t>Opening</t>
  </si>
  <si>
    <t>Purchase</t>
  </si>
  <si>
    <t>Sale</t>
  </si>
  <si>
    <t xml:space="preserve">Total </t>
  </si>
  <si>
    <t>TRANSACTION TYPE</t>
  </si>
  <si>
    <t>FISCAL YEAR</t>
  </si>
  <si>
    <t>INVESTMENT APPROACH</t>
  </si>
  <si>
    <t>SECTOR</t>
  </si>
  <si>
    <t>STOP LOSS CEILING(%)</t>
  </si>
  <si>
    <t>80-81</t>
  </si>
  <si>
    <t>Held for Trading</t>
  </si>
  <si>
    <t>Commercial Banks</t>
  </si>
  <si>
    <t>81-82</t>
  </si>
  <si>
    <t>Available for Sale</t>
  </si>
  <si>
    <t>Hotels And Tourism</t>
  </si>
  <si>
    <t>Held to Maturity</t>
  </si>
  <si>
    <t>Hydro Power</t>
  </si>
  <si>
    <t>Bonus Share</t>
  </si>
  <si>
    <t>Tradings</t>
  </si>
  <si>
    <t>Right Share</t>
  </si>
  <si>
    <t>Microfinance</t>
  </si>
  <si>
    <t>Reedemption</t>
  </si>
  <si>
    <t>Development Banks</t>
  </si>
  <si>
    <t>Non Life Insurance</t>
  </si>
  <si>
    <t>Life Insurance</t>
  </si>
  <si>
    <t>Finance</t>
  </si>
  <si>
    <t>MFG &amp; Processing</t>
  </si>
  <si>
    <t>Investment</t>
  </si>
  <si>
    <t>Others</t>
  </si>
  <si>
    <t>Mutual Fund</t>
  </si>
  <si>
    <t>Corporate Debenture</t>
  </si>
  <si>
    <t>Principal Cost As per  NFRS (In case of Sales)</t>
  </si>
  <si>
    <t>Total Purchase Amount</t>
  </si>
  <si>
    <t>HATHY</t>
  </si>
  <si>
    <t>Bill No</t>
  </si>
  <si>
    <t>S/001459/082-083</t>
  </si>
  <si>
    <t>purchase</t>
  </si>
  <si>
    <t>B/0001626/082-83</t>
  </si>
  <si>
    <t>S.No</t>
  </si>
  <si>
    <t>1. Shrawan</t>
  </si>
  <si>
    <t>FMDBL</t>
  </si>
  <si>
    <t>HIDCL</t>
  </si>
  <si>
    <t>S/0000099/082-083</t>
  </si>
  <si>
    <t>DP Charges</t>
  </si>
  <si>
    <t>Investment Cost (Including Comission)</t>
  </si>
  <si>
    <t xml:space="preserve"> Sales Commission</t>
  </si>
  <si>
    <t xml:space="preserve"> Purchase Commission</t>
  </si>
  <si>
    <t>Principal Amt AP TAX (Sales Unit)</t>
  </si>
  <si>
    <t>Sales</t>
  </si>
  <si>
    <t>B/0000595/082-083</t>
  </si>
  <si>
    <t>MSLB</t>
  </si>
  <si>
    <t>S/0002004/082-083</t>
  </si>
  <si>
    <t>S/0001770/082-083</t>
  </si>
  <si>
    <t>S/0002384/082-083</t>
  </si>
  <si>
    <t>S/0002752/082-083</t>
  </si>
  <si>
    <t>B/0002224/082-083</t>
  </si>
  <si>
    <t>S/0003753/082-083</t>
  </si>
  <si>
    <t>B/0000599/082-083</t>
  </si>
  <si>
    <t>HLI</t>
  </si>
  <si>
    <t>S/0001338/082-083</t>
  </si>
  <si>
    <t>B/0000046/082-083</t>
  </si>
  <si>
    <t>HRL</t>
  </si>
  <si>
    <t>SMHL</t>
  </si>
  <si>
    <t>SBI</t>
  </si>
  <si>
    <t>CLI</t>
  </si>
  <si>
    <t>B/0000045/082-83</t>
  </si>
  <si>
    <t>ICFC</t>
  </si>
  <si>
    <t>B/0000047/082-83</t>
  </si>
  <si>
    <t>LICN</t>
  </si>
  <si>
    <t>B/0000048/082-83</t>
  </si>
  <si>
    <t>UAIL</t>
  </si>
  <si>
    <t>B/0000049/082-83</t>
  </si>
  <si>
    <t>ILI</t>
  </si>
  <si>
    <t>B/0000121/082-83</t>
  </si>
  <si>
    <t>LBBL</t>
  </si>
  <si>
    <t>B/0000122/082-83</t>
  </si>
  <si>
    <t>SJCL</t>
  </si>
  <si>
    <t>B/0000123/082-83</t>
  </si>
  <si>
    <t>S/0000911/082-083</t>
  </si>
  <si>
    <t>S/0000910/082-083</t>
  </si>
  <si>
    <t>B/000277/082-083</t>
  </si>
  <si>
    <t>AHPC</t>
  </si>
  <si>
    <t>S/001335/082-083</t>
  </si>
  <si>
    <t>s/0001626/082-083</t>
  </si>
  <si>
    <t>S/0001339/082-83</t>
  </si>
  <si>
    <t>MFIL</t>
  </si>
  <si>
    <t>S/0001340/082-83</t>
  </si>
  <si>
    <t>NLG</t>
  </si>
  <si>
    <t>S/0001341/082-83</t>
  </si>
  <si>
    <t>S/0001342/082-083</t>
  </si>
  <si>
    <t>S/0001343/082-083</t>
  </si>
  <si>
    <t>S/0002001/082-83</t>
  </si>
  <si>
    <t>S/0002002/082-83</t>
  </si>
  <si>
    <t>sale</t>
  </si>
  <si>
    <t>S/0002003/082-83</t>
  </si>
  <si>
    <t>NICL</t>
  </si>
  <si>
    <t>S/0002005/082-83</t>
  </si>
  <si>
    <t>S/0002006/082-83</t>
  </si>
  <si>
    <t>S/0002007/082-083</t>
  </si>
  <si>
    <t>SMJC</t>
  </si>
  <si>
    <t>S/0002008/082-083</t>
  </si>
  <si>
    <t>B/000504/082-083</t>
  </si>
  <si>
    <t>CHDC</t>
  </si>
  <si>
    <t>B/000506/082-083</t>
  </si>
  <si>
    <t>B/0000505/082-83</t>
  </si>
  <si>
    <t>HEI</t>
  </si>
  <si>
    <t>B/0000507/082-83</t>
  </si>
  <si>
    <t>KMCDB</t>
  </si>
  <si>
    <t>B/0000506/082-83</t>
  </si>
  <si>
    <t>SPIL</t>
  </si>
  <si>
    <t>B/0000509/082-83</t>
  </si>
  <si>
    <t>SHPC</t>
  </si>
  <si>
    <t>S/0002387/082-083</t>
  </si>
  <si>
    <t>S/0002025/082-083</t>
  </si>
  <si>
    <t>S/0002385/082-83</t>
  </si>
  <si>
    <t>B/000513/082-083</t>
  </si>
  <si>
    <t>B/0000514/082-83</t>
  </si>
  <si>
    <t>SRLI</t>
  </si>
  <si>
    <t>B/0000515/082-83</t>
  </si>
  <si>
    <t>S/0002754/082-083</t>
  </si>
  <si>
    <t>S/0002753/082-83</t>
  </si>
  <si>
    <t>B/000594/082-083</t>
  </si>
  <si>
    <t>B/0000595/082-83</t>
  </si>
  <si>
    <t>IGI</t>
  </si>
  <si>
    <t>B/0000596/082-83</t>
  </si>
  <si>
    <t>B/0000597/082-83</t>
  </si>
  <si>
    <t>B/0000598/082-83</t>
  </si>
  <si>
    <t>B/0000600/082-83</t>
  </si>
  <si>
    <t>B/0000601/082-83</t>
  </si>
  <si>
    <t>S/0002876/082-083</t>
  </si>
  <si>
    <t>S/0003754/082-083</t>
  </si>
  <si>
    <t>S/0004075/082-083</t>
  </si>
  <si>
    <t>S/0004076/082-83</t>
  </si>
  <si>
    <t>S/0004465/082-83</t>
  </si>
  <si>
    <t>S/0004464/082-083</t>
  </si>
  <si>
    <t>S/0004654/082-83</t>
  </si>
  <si>
    <t>S/0004932/082-083</t>
  </si>
  <si>
    <t>KSBBL</t>
  </si>
  <si>
    <t>B/0001004/082-83</t>
  </si>
  <si>
    <t>MNBBL</t>
  </si>
  <si>
    <t>B/0001005/082-83</t>
  </si>
  <si>
    <t>B/0001003/082-83</t>
  </si>
  <si>
    <t>SHL</t>
  </si>
  <si>
    <t>B/0001006/082-83</t>
  </si>
  <si>
    <t>Closing Unit</t>
  </si>
  <si>
    <t>Total Investment Cost(Including Comission</t>
  </si>
  <si>
    <t>B/000349/082-083</t>
  </si>
  <si>
    <t>DDBL</t>
  </si>
  <si>
    <t>S/0000077/082-83</t>
  </si>
  <si>
    <t>S/0001660/082-83</t>
  </si>
  <si>
    <t>S/0003462/082-83</t>
  </si>
  <si>
    <t>S/0004950/082-83</t>
  </si>
  <si>
    <t>NMLBBL</t>
  </si>
  <si>
    <t>S/0004951/082-83</t>
  </si>
  <si>
    <t>SCB</t>
  </si>
  <si>
    <t>S/0004952/082-83</t>
  </si>
  <si>
    <t>S/00022179/082-83</t>
  </si>
  <si>
    <t>S/00024634/082-83</t>
  </si>
  <si>
    <t>Jyoti Capital Limited</t>
  </si>
  <si>
    <t>Kamalpokhari, Kathmandu</t>
  </si>
  <si>
    <t>JCL Portfolio Statement</t>
  </si>
  <si>
    <t>SN</t>
  </si>
  <si>
    <t>Company Name</t>
  </si>
  <si>
    <t>SYMBOL2</t>
  </si>
  <si>
    <t xml:space="preserve">Sector </t>
  </si>
  <si>
    <t>SYMBOL3</t>
  </si>
  <si>
    <t xml:space="preserve">Instrument </t>
  </si>
  <si>
    <t>NABIL</t>
  </si>
  <si>
    <t>Nabil Bank Limited</t>
  </si>
  <si>
    <t>Equity</t>
  </si>
  <si>
    <t>NIMB</t>
  </si>
  <si>
    <t>Nepal Investment Mega Bank Limited</t>
  </si>
  <si>
    <t>Standard Chartered Bank Limited</t>
  </si>
  <si>
    <t>HBL</t>
  </si>
  <si>
    <t>Himalayan Bank Limited</t>
  </si>
  <si>
    <t>Nepal SBI Bank Limited</t>
  </si>
  <si>
    <t>EBL</t>
  </si>
  <si>
    <t>Everest Bank Limited</t>
  </si>
  <si>
    <t>NICA</t>
  </si>
  <si>
    <t>NIC Asia Bank Ltd.</t>
  </si>
  <si>
    <t>MBL</t>
  </si>
  <si>
    <t>Machhapuchhre Bank Limited</t>
  </si>
  <si>
    <t>LSL</t>
  </si>
  <si>
    <t>Laxmi Sunrise Bank Limited</t>
  </si>
  <si>
    <t>KBL</t>
  </si>
  <si>
    <t>Kumari Bank Limited</t>
  </si>
  <si>
    <t>SBL</t>
  </si>
  <si>
    <t>Siddhartha Bank Limited</t>
  </si>
  <si>
    <t>Soaltee Hotel Limited</t>
  </si>
  <si>
    <t>TRH</t>
  </si>
  <si>
    <t>Taragaon Regency Hotel Limited</t>
  </si>
  <si>
    <t>OHL</t>
  </si>
  <si>
    <t>Oriental Hotels Limited</t>
  </si>
  <si>
    <t>NHPC</t>
  </si>
  <si>
    <t>National Hydro Power Company Limited</t>
  </si>
  <si>
    <t>BPCL</t>
  </si>
  <si>
    <t>Butwal Power Company Limited</t>
  </si>
  <si>
    <t>CHCL</t>
  </si>
  <si>
    <t>Chilime Hydropower Company Limited</t>
  </si>
  <si>
    <t>STC</t>
  </si>
  <si>
    <t>Salt Trading Corporation</t>
  </si>
  <si>
    <t>BBC</t>
  </si>
  <si>
    <t>Bishal Bazar Company Limited</t>
  </si>
  <si>
    <t>NUBL</t>
  </si>
  <si>
    <t>Nirdhan Utthan Laghubitta Bittiya Sanstha Limited</t>
  </si>
  <si>
    <t>CBBL</t>
  </si>
  <si>
    <t>Chhimek Laghubitta Bittiya Sanstha Limited</t>
  </si>
  <si>
    <t>Deprosc Laghubitta Bittiya Sanstha Limited</t>
  </si>
  <si>
    <t>SANIMA</t>
  </si>
  <si>
    <t>Sanima Bank Limited</t>
  </si>
  <si>
    <t>NABBC</t>
  </si>
  <si>
    <t>Narayani Development Bank Limited</t>
  </si>
  <si>
    <t>Nepal Insurance Co. Ltd.</t>
  </si>
  <si>
    <t>RBCL</t>
  </si>
  <si>
    <t>Rastriya Beema Company Limited</t>
  </si>
  <si>
    <t>NLICL</t>
  </si>
  <si>
    <t>National Life Insurance Co. Ltd.</t>
  </si>
  <si>
    <t>Himalayan Everest Insurance Limited</t>
  </si>
  <si>
    <t>United Ajod Insurance Limited</t>
  </si>
  <si>
    <t>Siddhartha Premier Insurance Limited</t>
  </si>
  <si>
    <t>NIL</t>
  </si>
  <si>
    <t>Neco Insurance Limited</t>
  </si>
  <si>
    <t>PRIN</t>
  </si>
  <si>
    <t>Prabhu Insurance Ltd.</t>
  </si>
  <si>
    <t>SALICO</t>
  </si>
  <si>
    <t>Sagarmatha Lumbini Insurance Co. Limited</t>
  </si>
  <si>
    <t>IGI Prudential insurance Limited</t>
  </si>
  <si>
    <t>NLIC</t>
  </si>
  <si>
    <t>Nepal Life Insurance Co. Ltd.</t>
  </si>
  <si>
    <t>Life Insurance Corporation (Nepal) Limited</t>
  </si>
  <si>
    <t>SICL</t>
  </si>
  <si>
    <t>Shikhar Insurance Co. Ltd.</t>
  </si>
  <si>
    <t>NFS</t>
  </si>
  <si>
    <t>Nepal Finance Ltd.</t>
  </si>
  <si>
    <t>BNL</t>
  </si>
  <si>
    <t>Bottlers Nepal (Balaju) Limited</t>
  </si>
  <si>
    <t>NLO</t>
  </si>
  <si>
    <t>Nepal Lube Oil Limited</t>
  </si>
  <si>
    <t>GUFL</t>
  </si>
  <si>
    <t>Gurkhas Finance Ltd.</t>
  </si>
  <si>
    <t>CIT</t>
  </si>
  <si>
    <t>Citizen Investment Trust</t>
  </si>
  <si>
    <t>BNT</t>
  </si>
  <si>
    <t>Bottlers Nepal (Terai) Limited</t>
  </si>
  <si>
    <t>UNL</t>
  </si>
  <si>
    <t>Unilever Nepal Limited</t>
  </si>
  <si>
    <t>BFC</t>
  </si>
  <si>
    <t>Best Finance Company Ltd.</t>
  </si>
  <si>
    <t>GFCL</t>
  </si>
  <si>
    <t>Goodwill Finance Limited</t>
  </si>
  <si>
    <t>HDL</t>
  </si>
  <si>
    <t>Himalayan Distillery Limited</t>
  </si>
  <si>
    <t>PFL</t>
  </si>
  <si>
    <t>Pokhara Finance Ltd.</t>
  </si>
  <si>
    <t>NMB</t>
  </si>
  <si>
    <t>NMB Bank Limited</t>
  </si>
  <si>
    <t>SIFC</t>
  </si>
  <si>
    <t>Shree Investment Finance Co. Ltd.</t>
  </si>
  <si>
    <t>CFCL</t>
  </si>
  <si>
    <t>Central Finance Co. Ltd.</t>
  </si>
  <si>
    <t>JFL</t>
  </si>
  <si>
    <t>Janaki Finance Company Limited</t>
  </si>
  <si>
    <t>PRVU</t>
  </si>
  <si>
    <t>Prabhu Bank Limited</t>
  </si>
  <si>
    <t>SFCL</t>
  </si>
  <si>
    <t>Samriddhi Finance Company Limited</t>
  </si>
  <si>
    <t>GMFIL</t>
  </si>
  <si>
    <t>Guheshowori Merchant Bank &amp; Finance Co. Ltd.</t>
  </si>
  <si>
    <t>SWBBL</t>
  </si>
  <si>
    <t>Swabalamban Laghubitta Bittiya Sanstha Limited</t>
  </si>
  <si>
    <t>ICFC Finance Limited</t>
  </si>
  <si>
    <t>EDBL</t>
  </si>
  <si>
    <t>Excel Development Bank Ltd.</t>
  </si>
  <si>
    <t>NTC</t>
  </si>
  <si>
    <t>Nepal Doorsanchar Company Limited</t>
  </si>
  <si>
    <t>PROFL</t>
  </si>
  <si>
    <t>Progressive Finance Limited</t>
  </si>
  <si>
    <t>GBIME</t>
  </si>
  <si>
    <t>Global IME Bank Limited</t>
  </si>
  <si>
    <t>CZBIL</t>
  </si>
  <si>
    <t>Citizens Bank International Limited</t>
  </si>
  <si>
    <t>PCBL</t>
  </si>
  <si>
    <t>Prime Commercial Bank Ltd.</t>
  </si>
  <si>
    <t>Lumbini Bikas Bank Ltd.</t>
  </si>
  <si>
    <t>Arun Valley Hydropower Development Co. Ltd.</t>
  </si>
  <si>
    <t>MDB</t>
  </si>
  <si>
    <t>Miteri Development Bank Limited</t>
  </si>
  <si>
    <t>ALICL</t>
  </si>
  <si>
    <t>Asian Life Insurance Co. Limited</t>
  </si>
  <si>
    <t>Himalayan Life Insurance Limited</t>
  </si>
  <si>
    <t>Nerude Mirmire Laghubitta Bittiya Sanstha Limited</t>
  </si>
  <si>
    <t>ADBL</t>
  </si>
  <si>
    <t>Agricultural Development Bank Limited</t>
  </si>
  <si>
    <t>MLBL</t>
  </si>
  <si>
    <t>Mahalaxmi Bikas Bank Ltd.</t>
  </si>
  <si>
    <t>SJLIC</t>
  </si>
  <si>
    <t>SuryaJyoti Life Insurance Company Limited</t>
  </si>
  <si>
    <t>GBBL</t>
  </si>
  <si>
    <t>Garima Bikas Bank Limited</t>
  </si>
  <si>
    <t>JBBL</t>
  </si>
  <si>
    <t>Jyoti Bikas Bank Limited</t>
  </si>
  <si>
    <t>KRBL</t>
  </si>
  <si>
    <t>Karnali Development Bank Limited</t>
  </si>
  <si>
    <t>CORBL</t>
  </si>
  <si>
    <t>Corporate Development Bank Limited</t>
  </si>
  <si>
    <t>Kamana Sewa Bikas Bank Limited</t>
  </si>
  <si>
    <t>MPFL</t>
  </si>
  <si>
    <t>Multipurpose Finance Company Limited</t>
  </si>
  <si>
    <t>SADBL</t>
  </si>
  <si>
    <t>Shangrila Development Bank Ltd.</t>
  </si>
  <si>
    <t>SHINE</t>
  </si>
  <si>
    <t>Shine Resunga Development Bank Ltd.</t>
  </si>
  <si>
    <t>Muktinath Bikas Bank Ltd.</t>
  </si>
  <si>
    <t>First Micro Finance Laghubitta Bittiya Sanstha Limited</t>
  </si>
  <si>
    <t>Manjushree Finance Ltd.</t>
  </si>
  <si>
    <t>NBL</t>
  </si>
  <si>
    <t>Nepal Bank Limited</t>
  </si>
  <si>
    <t>SLBBL</t>
  </si>
  <si>
    <t>Swarojgar Laghu Bitta Bikas Bank Ltd.</t>
  </si>
  <si>
    <t>NLG Insurance Company Ltd.</t>
  </si>
  <si>
    <t>SINDU</t>
  </si>
  <si>
    <t>Sindhu Bikash Bank Ltd</t>
  </si>
  <si>
    <t>SKBBL</t>
  </si>
  <si>
    <t>Sana Kisan Bikas Laghubitta Bittiya Sanstha Limited</t>
  </si>
  <si>
    <t>GBLBS</t>
  </si>
  <si>
    <t>Grameen Bikas Laghubitta Bittiya Sanstha Ltd.</t>
  </si>
  <si>
    <t>RLFL</t>
  </si>
  <si>
    <t>Reliance Finance Ltd.</t>
  </si>
  <si>
    <t>Sanima Mai Hydropower Ltd.</t>
  </si>
  <si>
    <t>Kalika Laghubitta Bittiya Sanstha Ltd</t>
  </si>
  <si>
    <t>MLBBL</t>
  </si>
  <si>
    <t>Mithila LaghuBitta Bittiya Sanstha Limited</t>
  </si>
  <si>
    <t>RIDI</t>
  </si>
  <si>
    <t>Ridi Power Company Limited</t>
  </si>
  <si>
    <t>LLBS</t>
  </si>
  <si>
    <t>Laxmi Laghubitta Bittiya Sanstha Ltd.</t>
  </si>
  <si>
    <t>MMFDB</t>
  </si>
  <si>
    <t>Mirmire Laghubitta Bittya Sanstha Limited</t>
  </si>
  <si>
    <t>BARUN</t>
  </si>
  <si>
    <t>Barun Hydropower Co. Ltd.</t>
  </si>
  <si>
    <t>VLBS</t>
  </si>
  <si>
    <t>Vijaya laghubitta Bittiya Sanstha Ltd.</t>
  </si>
  <si>
    <t>HLBSL</t>
  </si>
  <si>
    <t>Himalayan Laghubitta Bittiya Sanstha Limited</t>
  </si>
  <si>
    <t>KLBSL</t>
  </si>
  <si>
    <t>Kisan Lagubitta Bittiya Sanstha Limited</t>
  </si>
  <si>
    <t>JSLBB</t>
  </si>
  <si>
    <t>Janautthan Samudayic Laghubitta Bittya Sanstha Limited</t>
  </si>
  <si>
    <t>API</t>
  </si>
  <si>
    <t>Api Power Company Ltd.</t>
  </si>
  <si>
    <t>NMBMF</t>
  </si>
  <si>
    <t>NMB Microfinance Bittiya Sanstha Ltd.</t>
  </si>
  <si>
    <t>GILB</t>
  </si>
  <si>
    <t>Global IME Laghubitta Bittiya Sanstha Ltd.</t>
  </si>
  <si>
    <t>SWMF</t>
  </si>
  <si>
    <t>Suryodaya Womi Laghubitta Bittiya Sanstha Limited</t>
  </si>
  <si>
    <t>MERO</t>
  </si>
  <si>
    <t>Mero Microfinance Bittiya Sanstha Ltd.</t>
  </si>
  <si>
    <t>Hydorelectricity Investment and Development Company Ltd</t>
  </si>
  <si>
    <t>NGPL</t>
  </si>
  <si>
    <t>Ngadi Group Power Ltd.</t>
  </si>
  <si>
    <t>GRDBL</t>
  </si>
  <si>
    <t>Green Development Bank Ltd.</t>
  </si>
  <si>
    <t>NMFBS</t>
  </si>
  <si>
    <t>National Laghubitta Bittiya Sanstha Limited</t>
  </si>
  <si>
    <t>RSDC</t>
  </si>
  <si>
    <t>RSDC Laghubitta Bittiya Sanstha Ltd.</t>
  </si>
  <si>
    <t>KKHC</t>
  </si>
  <si>
    <t>Khanikhola Hydropower Co. Ltd.</t>
  </si>
  <si>
    <t>DHPL</t>
  </si>
  <si>
    <t>Dibyashwori Hydropower Ltd.</t>
  </si>
  <si>
    <t>AKPL</t>
  </si>
  <si>
    <t>Arun Kabeli Power Ltd.</t>
  </si>
  <si>
    <t>FOWAD</t>
  </si>
  <si>
    <t>Forward Microfinance Laghubitta Bittiya Sanstha Limited</t>
  </si>
  <si>
    <t>SPDL</t>
  </si>
  <si>
    <t>Synergy Power Development Ltd.</t>
  </si>
  <si>
    <t>UMHL</t>
  </si>
  <si>
    <t>United Modi Hydropower Ltd.</t>
  </si>
  <si>
    <t>SMATA</t>
  </si>
  <si>
    <t>Samata Gharelu Laghubitta Bittiya Sanstha Limited</t>
  </si>
  <si>
    <t>LEMF</t>
  </si>
  <si>
    <t>Laxmi Equity Fund</t>
  </si>
  <si>
    <t>Mutual Funds</t>
  </si>
  <si>
    <t>CHL</t>
  </si>
  <si>
    <t>Chhyangdi Hydropower Ltd.</t>
  </si>
  <si>
    <t>HPPL</t>
  </si>
  <si>
    <t>Himalayan Power Partner Ltd.</t>
  </si>
  <si>
    <t>Mahuli Laghubitta Bittiya Sanstha Limited</t>
  </si>
  <si>
    <t>NHDL</t>
  </si>
  <si>
    <t>Nepal Hydro Developers Ltd.</t>
  </si>
  <si>
    <t>SEF</t>
  </si>
  <si>
    <t>Siddhartha Equity Fund</t>
  </si>
  <si>
    <t>SMB</t>
  </si>
  <si>
    <t>Support Microfinance Bittiya Sanstha Ltd.</t>
  </si>
  <si>
    <t>SAEF</t>
  </si>
  <si>
    <t>Sanima Equity Fund</t>
  </si>
  <si>
    <t>USLB</t>
  </si>
  <si>
    <t>Unnati Sahakarya Laghubitta Bittiya Sanstha Limited</t>
  </si>
  <si>
    <t>RADHI</t>
  </si>
  <si>
    <t>Radhi Bidyut Company Ltd</t>
  </si>
  <si>
    <t>NICGF</t>
  </si>
  <si>
    <t>NIC Asia Growth Fund</t>
  </si>
  <si>
    <t>CMF1</t>
  </si>
  <si>
    <t>Citizens Mutual Fund -1</t>
  </si>
  <si>
    <t>WNLB</t>
  </si>
  <si>
    <t>Wean Nepal Laghubitta Bittiya Sanstha Limited</t>
  </si>
  <si>
    <t>NADEP</t>
  </si>
  <si>
    <t>Nadep Laghubittiya bittya Sanstha Ltd.</t>
  </si>
  <si>
    <t>PMHPL</t>
  </si>
  <si>
    <t>Panchakanya Mai Hydropower Ltd</t>
  </si>
  <si>
    <t>KPCL</t>
  </si>
  <si>
    <t>Kalika power Company Ltd</t>
  </si>
  <si>
    <t>AKJCL</t>
  </si>
  <si>
    <t>Ankhu Khola Jalvidhyut Company Ltd</t>
  </si>
  <si>
    <t>JOSHI</t>
  </si>
  <si>
    <t>Joshi Hydropower Development Company Ltd</t>
  </si>
  <si>
    <t>ACLBSL</t>
  </si>
  <si>
    <t>Aarambha Chautari Laghubitta Bittiya Sanstha Limited</t>
  </si>
  <si>
    <t>UPPER</t>
  </si>
  <si>
    <t>Upper Tamakoshi Hydropower Ltd</t>
  </si>
  <si>
    <t>SLBSL</t>
  </si>
  <si>
    <t>Samudayik Laghubitta Bittiya Sanstha Limited</t>
  </si>
  <si>
    <t>GHL</t>
  </si>
  <si>
    <t>Ghalemdi Hydro Limited</t>
  </si>
  <si>
    <t>ALBSL</t>
  </si>
  <si>
    <t>Asha Laghubitta Bittiya Sanstha Ltd</t>
  </si>
  <si>
    <t>SHIVM</t>
  </si>
  <si>
    <t>SHIVAM CEMENTS LTD</t>
  </si>
  <si>
    <t>UPCL</t>
  </si>
  <si>
    <t>UNIVERSAL POWER COMPANY LTD</t>
  </si>
  <si>
    <t>MHNL</t>
  </si>
  <si>
    <t>Mountain Hydro Nepal Limited</t>
  </si>
  <si>
    <t>PPCL</t>
  </si>
  <si>
    <t>Panchthar Power Compant Limited</t>
  </si>
  <si>
    <t>GMFBS</t>
  </si>
  <si>
    <t>Ganapati Laghubitta Bittiya Sanstha Limited</t>
  </si>
  <si>
    <t>HURJA</t>
  </si>
  <si>
    <t>Himalaya Urja Bikas Company Limited</t>
  </si>
  <si>
    <t>NICAD 85/86</t>
  </si>
  <si>
    <t>10% NIC Asia Debenture 2085/86</t>
  </si>
  <si>
    <t>Non-Convertible Debentures</t>
  </si>
  <si>
    <t>GLBSL</t>
  </si>
  <si>
    <t>Gurans Laghubitta Bittiya Sanstha Limited</t>
  </si>
  <si>
    <t>SAND2085</t>
  </si>
  <si>
    <t>10% Sanima Bank Limited Debenture</t>
  </si>
  <si>
    <t>SMFBS</t>
  </si>
  <si>
    <t>Swabhimaan Laghubitta Bittiya Sanstha Limited</t>
  </si>
  <si>
    <t>UNHPL</t>
  </si>
  <si>
    <t>Union Hydropower Limited</t>
  </si>
  <si>
    <t>ILBS</t>
  </si>
  <si>
    <t>Infinity Laghubitta Bittiya Sanstha Limited</t>
  </si>
  <si>
    <t>SRD80</t>
  </si>
  <si>
    <t>10% Sunrise Debenture 2080</t>
  </si>
  <si>
    <t>NBF2</t>
  </si>
  <si>
    <t>NABIL BALANCED FUND-2</t>
  </si>
  <si>
    <t>GBD80/81</t>
  </si>
  <si>
    <t>10.25% GLOBAL IME BANK LTD. DEBENTURE 2080/81</t>
  </si>
  <si>
    <t>RHPL</t>
  </si>
  <si>
    <t>RASUWAGADHI HYDROPOWER COMPANY LIMITED</t>
  </si>
  <si>
    <t>SANJEN JALAVIDHYUT COMPANY LIMITED</t>
  </si>
  <si>
    <t>SABSL</t>
  </si>
  <si>
    <t>Sabaiko Laghubitta Bittiya Sanstha Limited</t>
  </si>
  <si>
    <t>NMBD2085</t>
  </si>
  <si>
    <t>10 % NMB DEBENTURE 2085</t>
  </si>
  <si>
    <t>NIBD2082</t>
  </si>
  <si>
    <t>10.5 % NEPAL INVESTMENT DEBENTURE 2082</t>
  </si>
  <si>
    <t>NBBD2085</t>
  </si>
  <si>
    <t>10.25% NBBL Debenture 2085</t>
  </si>
  <si>
    <t>SIGS2</t>
  </si>
  <si>
    <t>Siddhartha Investment Growth Scheme - 2</t>
  </si>
  <si>
    <t>SAPDBL</t>
  </si>
  <si>
    <t>Saptakoshi Development Bank Ltd</t>
  </si>
  <si>
    <t>CMF2</t>
  </si>
  <si>
    <t>CITIZENS MUTUAL FUND 2</t>
  </si>
  <si>
    <t>NICBF</t>
  </si>
  <si>
    <t>NIC Asia Balanced Fund</t>
  </si>
  <si>
    <t>SBLD83</t>
  </si>
  <si>
    <t>10.25% SBL Debenture 2083</t>
  </si>
  <si>
    <t>MBLD2085</t>
  </si>
  <si>
    <t>10.25% Machhapuchhre Bank Debenture 2085</t>
  </si>
  <si>
    <t>NMB50</t>
  </si>
  <si>
    <t>NMB 50</t>
  </si>
  <si>
    <t>NICD83/84</t>
  </si>
  <si>
    <t>10.25% NIC Asia Debenture 2083/84</t>
  </si>
  <si>
    <t>NICAD8283</t>
  </si>
  <si>
    <t>11% NIC Asia Debenture 082/83</t>
  </si>
  <si>
    <t>BOKD2079</t>
  </si>
  <si>
    <t>8% BOK Debenture 2079</t>
  </si>
  <si>
    <t>SBLD2082</t>
  </si>
  <si>
    <t>10.50% SBL Debenture 2082</t>
  </si>
  <si>
    <t>HBLD83</t>
  </si>
  <si>
    <t>10% Himalayan Bank Debenture 2083</t>
  </si>
  <si>
    <t>PBLD86</t>
  </si>
  <si>
    <t>10.25% Prabhu Bank Debenture 2086</t>
  </si>
  <si>
    <t>SFMF</t>
  </si>
  <si>
    <t>Sunrise First Mutual Fund</t>
  </si>
  <si>
    <t>SRBLD83</t>
  </si>
  <si>
    <t>10.25% Sunrise Bank Debenture 2083</t>
  </si>
  <si>
    <t>LBLD86</t>
  </si>
  <si>
    <t>10% Laxmi Bank Debenture 2086</t>
  </si>
  <si>
    <t>HDHPC</t>
  </si>
  <si>
    <t>Himal Dolakha Hydropower Company Limited</t>
  </si>
  <si>
    <t>NRIC</t>
  </si>
  <si>
    <t>Nepal Reinsurance Company Limited</t>
  </si>
  <si>
    <t>ICFCD83</t>
  </si>
  <si>
    <t>12% ICFC Finance Limited Debenture 2083</t>
  </si>
  <si>
    <t>GWFD83</t>
  </si>
  <si>
    <t>12 % Goodwill Finance Limited Debenture 2083</t>
  </si>
  <si>
    <t>KBLD86</t>
  </si>
  <si>
    <t>10.25% KBL Debenture 2086</t>
  </si>
  <si>
    <t>ADBLD83</t>
  </si>
  <si>
    <t>10.35% Agricultural Bank Debenture 2083</t>
  </si>
  <si>
    <t>NICLBSL</t>
  </si>
  <si>
    <t>NIC ASIA Laghubitta Bittiya Sanstha Limited</t>
  </si>
  <si>
    <t>CIZBD86</t>
  </si>
  <si>
    <t>10.25% Citizens Bank Debenture 2086</t>
  </si>
  <si>
    <t>SBIBD86</t>
  </si>
  <si>
    <t>10% Nepal SBI Bank Debenture 2086</t>
  </si>
  <si>
    <t>NBLD82</t>
  </si>
  <si>
    <t>10% Nabil Debenture 2082</t>
  </si>
  <si>
    <t>NICAD8182</t>
  </si>
  <si>
    <t>9% NIC Asia Debenture 2081/82</t>
  </si>
  <si>
    <t>SDLBSL</t>
  </si>
  <si>
    <t>Sadhana Laghubitta Bittiya Sanstha Limited</t>
  </si>
  <si>
    <t>NRN</t>
  </si>
  <si>
    <t>NRN Infrastructure and Development Limited</t>
  </si>
  <si>
    <t>LUK</t>
  </si>
  <si>
    <t>Laxmi Unnati Kosh</t>
  </si>
  <si>
    <t>LEC</t>
  </si>
  <si>
    <t>Liberty Energy Company Limited</t>
  </si>
  <si>
    <t>PBLD84</t>
  </si>
  <si>
    <t>10% Prabhu Bank Debenture 2084</t>
  </si>
  <si>
    <t>SSHL</t>
  </si>
  <si>
    <t>Shiva Shree Hydropower Ltd</t>
  </si>
  <si>
    <t>SGIC</t>
  </si>
  <si>
    <t>Sanima GIC Insurance Limited</t>
  </si>
  <si>
    <t>SBLD84</t>
  </si>
  <si>
    <t>8.5% SBL Debenture 2084</t>
  </si>
  <si>
    <t>MEN</t>
  </si>
  <si>
    <t>Mountain Energy Nepal Limited</t>
  </si>
  <si>
    <t>UMRH</t>
  </si>
  <si>
    <t>United IDI Mardi RB Hydropower Limited.</t>
  </si>
  <si>
    <t>PMLI</t>
  </si>
  <si>
    <t>Prabhu Mahalaxmi Life Insurance Limited</t>
  </si>
  <si>
    <t>CGH</t>
  </si>
  <si>
    <t>Chandragiri Hills Limited</t>
  </si>
  <si>
    <t>NIFRA</t>
  </si>
  <si>
    <t>Nepal Infrastructure Bank Limited</t>
  </si>
  <si>
    <t>SBD87</t>
  </si>
  <si>
    <t>8.5% Sanima Debenture 2087</t>
  </si>
  <si>
    <t>SLCF</t>
  </si>
  <si>
    <t>Sanima Large Cap Fund</t>
  </si>
  <si>
    <t>GLH</t>
  </si>
  <si>
    <t>GreenLife Hydropower Limited</t>
  </si>
  <si>
    <t>MLBSL</t>
  </si>
  <si>
    <t>Mahila Lagubitta Bittiya Sanstha Limited</t>
  </si>
  <si>
    <t>NIBD84</t>
  </si>
  <si>
    <t>8.5% Nepal Investment Bank Debenture 2084</t>
  </si>
  <si>
    <t>MFLD85</t>
  </si>
  <si>
    <t>9.5% Manjushree Finance Limited Debenture 2085</t>
  </si>
  <si>
    <t>KEF</t>
  </si>
  <si>
    <t>Kumari Equity Fund</t>
  </si>
  <si>
    <t>SHEL</t>
  </si>
  <si>
    <t>Singati Hydro Energy Limited</t>
  </si>
  <si>
    <t>RURU</t>
  </si>
  <si>
    <t>Ru Ru Jalbidhyut Pariyojana Limited</t>
  </si>
  <si>
    <t>NCCD86</t>
  </si>
  <si>
    <t>9.5% NCC Debenture 2086</t>
  </si>
  <si>
    <t>SBCF</t>
  </si>
  <si>
    <t>Sunrise Bluechip Fund</t>
  </si>
  <si>
    <t>CEDB Hydropower Development Company Limited</t>
  </si>
  <si>
    <t>PSF</t>
  </si>
  <si>
    <t>Prabhu Select Fund</t>
  </si>
  <si>
    <t>KSBBLD87</t>
  </si>
  <si>
    <t>9% Kamana Sewa Bikas Bank Limited Debenture 2087</t>
  </si>
  <si>
    <t>NIBSF2</t>
  </si>
  <si>
    <t>NIBL Samriddhi Fund -2</t>
  </si>
  <si>
    <t>JBLB</t>
  </si>
  <si>
    <t>Jeevan Bikas Laghubitta Bittya Sanstha Ltd</t>
  </si>
  <si>
    <t>MKLB</t>
  </si>
  <si>
    <t>Manakamana Smart Laghubitta Bittiya Sanstha Limited</t>
  </si>
  <si>
    <t>NBLD87</t>
  </si>
  <si>
    <t>8.5% Nepal Bank Debenture 2087</t>
  </si>
  <si>
    <t>ADBLB</t>
  </si>
  <si>
    <t>4% Agricultural Bond</t>
  </si>
  <si>
    <t>BOKD86</t>
  </si>
  <si>
    <t>8.5% BOK Debenture 2086</t>
  </si>
  <si>
    <t>PBLD87</t>
  </si>
  <si>
    <t>8.5% Prabhu Bank Debenture 2087</t>
  </si>
  <si>
    <t>NMBD87/88</t>
  </si>
  <si>
    <t>NMB Debenture 8.50% - 2087/88</t>
  </si>
  <si>
    <t>NMBEB92/93</t>
  </si>
  <si>
    <t>NMB Energy Bond 4% - 2092/93</t>
  </si>
  <si>
    <t>SAMAJ</t>
  </si>
  <si>
    <t>Samaj Laghubittya Bittiya Sanstha Limited</t>
  </si>
  <si>
    <t>NICSF</t>
  </si>
  <si>
    <t>NIC Asia Select Fund 30</t>
  </si>
  <si>
    <t>RMF1</t>
  </si>
  <si>
    <t>RBB Mutual Fund 1</t>
  </si>
  <si>
    <t>MND84/85</t>
  </si>
  <si>
    <t>Muktinath Debenture 2084/85</t>
  </si>
  <si>
    <t>Sanima Reliance Life Insurance Limited</t>
  </si>
  <si>
    <t>LBLD88</t>
  </si>
  <si>
    <t>8.5% Laxmi Bank Debenture 2088</t>
  </si>
  <si>
    <t>PBD85</t>
  </si>
  <si>
    <t>8.75 % Prime Debenture 2085</t>
  </si>
  <si>
    <t>SDBD87</t>
  </si>
  <si>
    <t>Shangri-la Development Bank Debenture 2087</t>
  </si>
  <si>
    <t>MBLD87</t>
  </si>
  <si>
    <t>8.5% Machhapuchchhre Debenture 2087</t>
  </si>
  <si>
    <t>NICD88</t>
  </si>
  <si>
    <t>NIC ASIA Rinpatra 2088</t>
  </si>
  <si>
    <t>RBBD83</t>
  </si>
  <si>
    <t>8.5% RBBL Debenture 2083</t>
  </si>
  <si>
    <t>GBILD86/87</t>
  </si>
  <si>
    <t>Global IME Bank Limited Debenture 2086/87</t>
  </si>
  <si>
    <t>MKJC</t>
  </si>
  <si>
    <t>Mailung Khola Jal Vidhyut Company Limited</t>
  </si>
  <si>
    <t>MLBS</t>
  </si>
  <si>
    <t>Manushi Laghubitta Bittiya Sanstha Limited</t>
  </si>
  <si>
    <t>JBBD87</t>
  </si>
  <si>
    <t>Jyoti Bikash Bank Bond 2087</t>
  </si>
  <si>
    <t>SAHAS</t>
  </si>
  <si>
    <t>Sahas Urja Limited</t>
  </si>
  <si>
    <t>TPC</t>
  </si>
  <si>
    <t>Terhathum Power Company Limited</t>
  </si>
  <si>
    <t>MMF1</t>
  </si>
  <si>
    <t>Mega Mutual Fund -1</t>
  </si>
  <si>
    <t>NBF3</t>
  </si>
  <si>
    <t>Nabil Balanced Fund-3</t>
  </si>
  <si>
    <t>SPC</t>
  </si>
  <si>
    <t>Samling Power Company Limited</t>
  </si>
  <si>
    <t>NYADI</t>
  </si>
  <si>
    <t>Nyadi Hydropower Limited</t>
  </si>
  <si>
    <t>NBLD85</t>
  </si>
  <si>
    <t>Nabil Debenture 2085</t>
  </si>
  <si>
    <t>ADBLB86</t>
  </si>
  <si>
    <t>Agricultural Bond (8 Year)</t>
  </si>
  <si>
    <t>ADBLB87</t>
  </si>
  <si>
    <t>Agricultural Bond (9 Year)</t>
  </si>
  <si>
    <t>MBJC</t>
  </si>
  <si>
    <t>Madhya Bhotekoshi Jalavidyut Company Limited</t>
  </si>
  <si>
    <t>BNHC</t>
  </si>
  <si>
    <t>Buddha Bhumi Nepal Hydropower Company Limited</t>
  </si>
  <si>
    <t>GBBD85</t>
  </si>
  <si>
    <t>Garima Debenture, 2085</t>
  </si>
  <si>
    <t>ENL</t>
  </si>
  <si>
    <t>Emerging Nepal Limited</t>
  </si>
  <si>
    <t>JALPA</t>
  </si>
  <si>
    <t>Jalpa Samudayik Laghubitta Bittiya Sanstha Limited</t>
  </si>
  <si>
    <t>NESDO</t>
  </si>
  <si>
    <t>NESDO Sambridha Laghubitta Bittiya Sanstha Limited</t>
  </si>
  <si>
    <t>CBLD88</t>
  </si>
  <si>
    <t>Civil Bank Debenture 2088</t>
  </si>
  <si>
    <t>EBLD86</t>
  </si>
  <si>
    <t>GVL</t>
  </si>
  <si>
    <t>Green Ventures Limited</t>
  </si>
  <si>
    <t>BHL</t>
  </si>
  <si>
    <t>Balephi Hydropower Limited</t>
  </si>
  <si>
    <t>ULBSL</t>
  </si>
  <si>
    <t>Upakar Laghubitta Bittiya Sanstha Limited</t>
  </si>
  <si>
    <t>CYCL</t>
  </si>
  <si>
    <t>CYC Nepal Laghubitta Bittiya Sanstha Limited</t>
  </si>
  <si>
    <t>RFPL</t>
  </si>
  <si>
    <t>River Falls Power Limited</t>
  </si>
  <si>
    <t>CCBD88</t>
  </si>
  <si>
    <t>Century Debenture 2088</t>
  </si>
  <si>
    <t>DORDI</t>
  </si>
  <si>
    <t>Dordi Khola Jal Bidyut Company Limited</t>
  </si>
  <si>
    <t>NICFC</t>
  </si>
  <si>
    <t>NIC Asia Flexi CAP Fund</t>
  </si>
  <si>
    <t>KDBY</t>
  </si>
  <si>
    <t>Kumari Dhanabriddhi Yojana</t>
  </si>
  <si>
    <t>BHDC</t>
  </si>
  <si>
    <t>Bindhyabasini Hydropower Development Company Limited</t>
  </si>
  <si>
    <t>HHL</t>
  </si>
  <si>
    <t>Himalayan Hydropower Limited</t>
  </si>
  <si>
    <t>PBD88</t>
  </si>
  <si>
    <t>10% Prime Debenture 2088</t>
  </si>
  <si>
    <t>SBLD89</t>
  </si>
  <si>
    <t>10.75% SBL Debenture 2089</t>
  </si>
  <si>
    <t>UHEWA</t>
  </si>
  <si>
    <t>Upper Hewakhola Hydropower Company Limited</t>
  </si>
  <si>
    <t>SGHC</t>
  </si>
  <si>
    <t>Swet-Ganga Hydropower &amp; Construction Limited</t>
  </si>
  <si>
    <t>MHL</t>
  </si>
  <si>
    <t>Mandakini Hydropower Limited</t>
  </si>
  <si>
    <t>USHEC</t>
  </si>
  <si>
    <t>Upper Solu Hydro Electric Company Limited</t>
  </si>
  <si>
    <t>NMBUR93/94</t>
  </si>
  <si>
    <t>NMB Energy Bond 4% - 2093/94</t>
  </si>
  <si>
    <t>GIBF1</t>
  </si>
  <si>
    <t>Global IME Balanced Fund-1</t>
  </si>
  <si>
    <t>RHGCL</t>
  </si>
  <si>
    <t>Rapti Hydro And General Construction Limited</t>
  </si>
  <si>
    <t>SBD89</t>
  </si>
  <si>
    <t>10.25% Sanima Debenture 2089</t>
  </si>
  <si>
    <t>SBID83</t>
  </si>
  <si>
    <t>10.25% Nepal SBI Bank Debenture 2083</t>
  </si>
  <si>
    <t>PBD84</t>
  </si>
  <si>
    <t>10.15% Prime Debenture 2084</t>
  </si>
  <si>
    <t>AVYAN</t>
  </si>
  <si>
    <t>Aviyan Laghubitta Bittiya Sanstha Limited</t>
  </si>
  <si>
    <t>EBLD85</t>
  </si>
  <si>
    <t>10.50% Everest Bank Limited Debenture 2085</t>
  </si>
  <si>
    <t>SPHL</t>
  </si>
  <si>
    <t>Sayapatri Hydropower Limited</t>
  </si>
  <si>
    <t>PPL</t>
  </si>
  <si>
    <t>People's Power Limited</t>
  </si>
  <si>
    <t>DLBS</t>
  </si>
  <si>
    <t>Dhaulagiri Laghubitta Bittiya Sanstha Limited</t>
  </si>
  <si>
    <t>NSIF2</t>
  </si>
  <si>
    <t>NMB Sulav Investment Fund - 2</t>
  </si>
  <si>
    <t>SIKLES</t>
  </si>
  <si>
    <t>Sikles Hydropower Limited</t>
  </si>
  <si>
    <t>KBLD89</t>
  </si>
  <si>
    <t>11% KBL Debenture 2089</t>
  </si>
  <si>
    <t>EHPL</t>
  </si>
  <si>
    <t>Eastern Hydropower Limited</t>
  </si>
  <si>
    <t>SHLB</t>
  </si>
  <si>
    <t>Shrijanshil Laghubitta Bittiya Sanstha Limited</t>
  </si>
  <si>
    <t>PHCL</t>
  </si>
  <si>
    <t>Peoples Hydropower Company Limited</t>
  </si>
  <si>
    <t>BHPL</t>
  </si>
  <si>
    <t>Barahi Hydropower Public Limited</t>
  </si>
  <si>
    <t>BOKD86KA</t>
  </si>
  <si>
    <t>BOK Debenture 2086 "KA"</t>
  </si>
  <si>
    <t>HBLD86</t>
  </si>
  <si>
    <t>Himalayan Bank Limited Bond, 2086</t>
  </si>
  <si>
    <t>NIBLGF</t>
  </si>
  <si>
    <t>NIBL Growth Fund</t>
  </si>
  <si>
    <t>SAGF</t>
  </si>
  <si>
    <t>Sanima Growth Fund</t>
  </si>
  <si>
    <t>UNLB</t>
  </si>
  <si>
    <t>Unique Nepal Laghubitta Bittiya Sanstha Limited</t>
  </si>
  <si>
    <t>NIFRAUR85/86</t>
  </si>
  <si>
    <t>NIFRA Uraj Rinpatra7%-2085/86</t>
  </si>
  <si>
    <t>Super Madi Hydropower Limited</t>
  </si>
  <si>
    <t>SPL</t>
  </si>
  <si>
    <t>Shuvam Power Limited</t>
  </si>
  <si>
    <t>SMH</t>
  </si>
  <si>
    <t>Super Mai Hydropower Limited</t>
  </si>
  <si>
    <t>MKHC</t>
  </si>
  <si>
    <t>Maya Khola Hydropower Company Limited</t>
  </si>
  <si>
    <t>AHL</t>
  </si>
  <si>
    <t>Asian Hydropower Limited</t>
  </si>
  <si>
    <t>KDL</t>
  </si>
  <si>
    <t>Kalinchowk Darshan Limited</t>
  </si>
  <si>
    <t>EBLEB89</t>
  </si>
  <si>
    <t>Everest Bank Limited Energy Bond, 2089</t>
  </si>
  <si>
    <t>SFEF</t>
  </si>
  <si>
    <t>Sunrise Focused Equity Fund</t>
  </si>
  <si>
    <t>TAMOR</t>
  </si>
  <si>
    <t>Sanima Middle Tamor Hydropower Limited</t>
  </si>
  <si>
    <t>MHCL</t>
  </si>
  <si>
    <t>Molung Hydropower Company Limited</t>
  </si>
  <si>
    <t>Sagarmatha Jalabidhyut Company Limited</t>
  </si>
  <si>
    <t>ANLB</t>
  </si>
  <si>
    <t>Aatmanirbhar Laghubitta Bittiya Sanstha Limited</t>
  </si>
  <si>
    <t>BPW</t>
  </si>
  <si>
    <t>BPW Laghubitta Bittiya Sanstha Limited</t>
  </si>
  <si>
    <t>MAKAR</t>
  </si>
  <si>
    <t>Makar Jitumaya Suri Hydropower Limited</t>
  </si>
  <si>
    <t>MKHL</t>
  </si>
  <si>
    <t>Mai Khola Hydropower Limited</t>
  </si>
  <si>
    <t>GBILD84/85</t>
  </si>
  <si>
    <t>Global IME Bank Debenture, 2084/85</t>
  </si>
  <si>
    <t>DOLTI</t>
  </si>
  <si>
    <t>Dolti Power Company Limited</t>
  </si>
  <si>
    <t>BEDC</t>
  </si>
  <si>
    <t>Bhugol Energy Development Company Limited</t>
  </si>
  <si>
    <t>CITY</t>
  </si>
  <si>
    <t>City Hotel Limited</t>
  </si>
  <si>
    <t>PRSF</t>
  </si>
  <si>
    <t>Prabhu Smart Fund</t>
  </si>
  <si>
    <t>MCHL</t>
  </si>
  <si>
    <t>Menchhiyam Hydropower Limited</t>
  </si>
  <si>
    <t>IHL</t>
  </si>
  <si>
    <t>Ingwa Hydropower Limited</t>
  </si>
  <si>
    <t>SCBD</t>
  </si>
  <si>
    <t>10.30% Standard Chartered Bank Limited Debenture</t>
  </si>
  <si>
    <t>RMF2</t>
  </si>
  <si>
    <t>RBB Mutual Fund 2</t>
  </si>
  <si>
    <t>MEL</t>
  </si>
  <si>
    <t>Modi Energy Limited</t>
  </si>
  <si>
    <t>NMBD89/90</t>
  </si>
  <si>
    <t>NMB Debenture 10.75%-2089/90</t>
  </si>
  <si>
    <t>RAWA</t>
  </si>
  <si>
    <t>Rawa Energy Development Limited</t>
  </si>
  <si>
    <t>SIGS3</t>
  </si>
  <si>
    <t>Siddhartha Investment Growth Scheme 3</t>
  </si>
  <si>
    <t>NRM</t>
  </si>
  <si>
    <t>Nepal Republic Media Limited</t>
  </si>
  <si>
    <t>IME Life Insurance Company Limited</t>
  </si>
  <si>
    <t>C30MF</t>
  </si>
  <si>
    <t>Citizens Super 30 Mutual Fund</t>
  </si>
  <si>
    <t>USHL</t>
  </si>
  <si>
    <t>Upper Syange Hydropower Limited</t>
  </si>
  <si>
    <t>GCIL</t>
  </si>
  <si>
    <t>Ghorahi Cement Industry Limited</t>
  </si>
  <si>
    <t>TSHL</t>
  </si>
  <si>
    <t>Three Star Hydropower Limited</t>
  </si>
  <si>
    <t>MLBLD89</t>
  </si>
  <si>
    <t>11% Mahalaxmi Debenture 2089</t>
  </si>
  <si>
    <t>KBSH</t>
  </si>
  <si>
    <t>Kutheli Bukhari Small Hydropower Limited</t>
  </si>
  <si>
    <t>LBBLD89</t>
  </si>
  <si>
    <t>11% L.B.B.L. Debenture 2089</t>
  </si>
  <si>
    <t>LVF2</t>
  </si>
  <si>
    <t>Laxmi Value Fund 2</t>
  </si>
  <si>
    <t>RNLI</t>
  </si>
  <si>
    <t>Reliable Nepal Life Insurance Limited</t>
  </si>
  <si>
    <t>SNLI</t>
  </si>
  <si>
    <t>Sun Nepal Life Insurance Company Limited</t>
  </si>
  <si>
    <t>MEHL</t>
  </si>
  <si>
    <t>Manakamana Engineering Hydropower Limited</t>
  </si>
  <si>
    <t>ULHC</t>
  </si>
  <si>
    <t>Upper Lohore Khola Hydropower Company Limited</t>
  </si>
  <si>
    <t>Citizen Life Insurance Company Limited</t>
  </si>
  <si>
    <t>SBID89</t>
  </si>
  <si>
    <t>9% Nepal SBI Bank Rinpatra 2089</t>
  </si>
  <si>
    <t>MANDU</t>
  </si>
  <si>
    <t>Mandu Hydropower Limited</t>
  </si>
  <si>
    <t>Hathway Investment Nepal Limited</t>
  </si>
  <si>
    <t>BGWT</t>
  </si>
  <si>
    <t>Bhagawati Hydropower Development Company Limited</t>
  </si>
  <si>
    <t>MSHL</t>
  </si>
  <si>
    <t>Mid Solu Hydropower Limited</t>
  </si>
  <si>
    <t>SONA</t>
  </si>
  <si>
    <t>Sonapur Minerals And Oil Limited</t>
  </si>
  <si>
    <t>MMKJL</t>
  </si>
  <si>
    <t>Mathillo Mailun Khola Jalvidhyut Limited</t>
  </si>
  <si>
    <t>TVCL</t>
  </si>
  <si>
    <t>Trishuli Jal Vidhyut Company Limited</t>
  </si>
  <si>
    <t>KBLD90</t>
  </si>
  <si>
    <t>10% KBL Debenture 2090</t>
  </si>
  <si>
    <t>H8020</t>
  </si>
  <si>
    <t>Himalayan 80-20</t>
  </si>
  <si>
    <t>VLUCL</t>
  </si>
  <si>
    <t>Vision Lumbini Urja Company Limited</t>
  </si>
  <si>
    <t>MKCL</t>
  </si>
  <si>
    <t>Muktinath Krishi Company Limited</t>
  </si>
  <si>
    <t>CIZBD90</t>
  </si>
  <si>
    <t>10% Citizens Bank Debenture 2090</t>
  </si>
  <si>
    <t>CKHL</t>
  </si>
  <si>
    <t>Chirkhwa Hydropower Limited</t>
  </si>
  <si>
    <t>NWCL</t>
  </si>
  <si>
    <t>Nepal Warehousing Company Limited</t>
  </si>
  <si>
    <t>Himalayan Reinsurance Limited</t>
  </si>
  <si>
    <t>NICGF2</t>
  </si>
  <si>
    <t>NIC ASIA Growth Fund-2</t>
  </si>
  <si>
    <t>NICAD85/86</t>
  </si>
  <si>
    <t>NMBHF1</t>
  </si>
  <si>
    <t>NMB Hybrid Fund L-1</t>
  </si>
  <si>
    <t>HIDCLP</t>
  </si>
  <si>
    <t>Hydroelectricity Investment &amp; Development Company  Limited</t>
  </si>
  <si>
    <t>Sector</t>
  </si>
  <si>
    <t>Total</t>
  </si>
  <si>
    <t>S/0005403/082-83</t>
  </si>
  <si>
    <t>S/0005591/082-83</t>
  </si>
  <si>
    <t>S/00026834/082-83</t>
  </si>
  <si>
    <t>S/00029347/082-83</t>
  </si>
  <si>
    <t>2. Bhadra</t>
  </si>
  <si>
    <t>TC AP NFRS (Closing)</t>
  </si>
  <si>
    <t>S/0006690/082-083</t>
  </si>
  <si>
    <t>1. Bhadra</t>
  </si>
  <si>
    <t>B/0001067/082-83</t>
  </si>
  <si>
    <t>B/0001132/082-83</t>
  </si>
  <si>
    <t>B/0001131/082-83</t>
  </si>
  <si>
    <t>B/0001185/082-83</t>
  </si>
  <si>
    <t>SIBBL</t>
  </si>
  <si>
    <t>B/0001278/082-83</t>
  </si>
  <si>
    <t>B/0001279/082-83</t>
  </si>
  <si>
    <t>B/0001702/082-83</t>
  </si>
  <si>
    <t>B/0001280/082-83</t>
  </si>
  <si>
    <t>B/0001289/082-83</t>
  </si>
  <si>
    <t>B/0001320/082-83</t>
  </si>
  <si>
    <t>SMPDA</t>
  </si>
  <si>
    <t>B/0001350/082-83</t>
  </si>
  <si>
    <t>B/0001402/082-83</t>
  </si>
  <si>
    <t>B/0001404/082-83</t>
  </si>
  <si>
    <t>B/0001405/082-83</t>
  </si>
  <si>
    <t>B/0001552/082-83</t>
  </si>
  <si>
    <t>B/0001648/082-83</t>
  </si>
  <si>
    <t>B/0001617/082-83</t>
  </si>
  <si>
    <t>B/0001403/082-83</t>
  </si>
  <si>
    <t>B/001551/082-083</t>
  </si>
  <si>
    <t>B/0001553/082-83</t>
  </si>
  <si>
    <t>.</t>
  </si>
  <si>
    <t>B/0001554/082-83</t>
  </si>
  <si>
    <t>B/0001555/082-83</t>
  </si>
  <si>
    <t>B/0001556/082-83</t>
  </si>
  <si>
    <t>B/0001558/082-83</t>
  </si>
  <si>
    <t>B/0001615/082-83</t>
  </si>
  <si>
    <t>B/0001699/082-83</t>
  </si>
  <si>
    <t>B/0001700/082-83</t>
  </si>
  <si>
    <t>B/0001701/082-83</t>
  </si>
  <si>
    <t>S/0007392/082-83</t>
  </si>
  <si>
    <t>3. Ashoj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</si>
</sst>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_(&quot; &quot;* #,##0.00_);_(&quot; &quot;* \(#,##0.00\);_(&quot; &quot;* &quot;-&quot;??_);_(@_)"/>
    <numFmt numFmtId="167" formatCode="_-* #,##0.0000_-;\-* #,##0.0000_-;_-* &quot;-&quot;????_-;_-@_-"/>
    <numFmt numFmtId="168" formatCode="_(&quot; &quot;* #,##0.0000_);_(&quot; &quot;* \(#,##0.0000\);_(&quot; 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7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theme="0"/>
      <name val="Calibri Light"/>
      <family val="2"/>
      <scheme val="major"/>
    </font>
    <font>
      <sz val="11"/>
      <color theme="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1"/>
      <color theme="4" tint="-0.499984740745262"/>
      <name val="Calibri Light"/>
      <family val="2"/>
      <scheme val="maj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7"/>
      <color rgb="FF333333"/>
      <name val="Arial"/>
      <family val="2"/>
    </font>
    <font>
      <b/>
      <sz val="11"/>
      <name val="Calibri Light"/>
      <family val="2"/>
      <scheme val="maj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59999389629810485"/>
        <bgColor theme="6" tint="0.79998168889431442"/>
      </patternFill>
    </fill>
    <fill>
      <patternFill patternType="solid">
        <fgColor rgb="FFFFFF00"/>
        <bgColor theme="6" tint="0.79998168889431442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 style="hair">
        <color theme="4" tint="-0.499984740745262"/>
      </right>
      <top/>
      <bottom style="hair">
        <color theme="4" tint="-0.499984740745262"/>
      </bottom>
      <diagonal/>
    </border>
    <border>
      <left style="hair">
        <color theme="4" tint="-0.499984740745262"/>
      </left>
      <right style="hair">
        <color theme="4" tint="-0.499984740745262"/>
      </right>
      <top/>
      <bottom style="hair">
        <color theme="4" tint="-0.499984740745262"/>
      </bottom>
      <diagonal/>
    </border>
    <border>
      <left style="hair">
        <color theme="4" tint="-0.499984740745262"/>
      </left>
      <right/>
      <top/>
      <bottom style="hair">
        <color theme="4" tint="-0.499984740745262"/>
      </bottom>
      <diagonal/>
    </border>
    <border>
      <left/>
      <right style="hair">
        <color theme="4" tint="-0.499984740745262"/>
      </right>
      <top style="hair">
        <color theme="4" tint="-0.499984740745262"/>
      </top>
      <bottom/>
      <diagonal/>
    </border>
    <border>
      <left style="hair">
        <color theme="4" tint="-0.499984740745262"/>
      </left>
      <right style="hair">
        <color theme="4" tint="-0.499984740745262"/>
      </right>
      <top style="hair">
        <color theme="4" tint="-0.499984740745262"/>
      </top>
      <bottom/>
      <diagonal/>
    </border>
    <border>
      <left style="hair">
        <color theme="4" tint="-0.499984740745262"/>
      </left>
      <right/>
      <top style="hair">
        <color theme="4" tint="-0.499984740745262"/>
      </top>
      <bottom/>
      <diagonal/>
    </border>
    <border>
      <left/>
      <right/>
      <top style="hair">
        <color theme="4" tint="-0.499984740745262"/>
      </top>
      <bottom/>
      <diagonal/>
    </border>
    <border>
      <left style="hair">
        <color theme="4" tint="-0.499984740745262"/>
      </left>
      <right style="hair">
        <color theme="4" tint="-0.499984740745262"/>
      </right>
      <top style="hair">
        <color theme="4" tint="-0.499984740745262"/>
      </top>
      <bottom style="hair">
        <color theme="4" tint="-0.499984740745262"/>
      </bottom>
      <diagonal/>
    </border>
    <border>
      <left style="hair">
        <color theme="4" tint="-0.499984740745262"/>
      </left>
      <right style="hair">
        <color theme="4" tint="-0.499984740745262"/>
      </right>
      <top style="hair">
        <color theme="4" tint="-0.499984740745262"/>
      </top>
      <bottom style="thin">
        <color theme="4" tint="0.39997558519241921"/>
      </bottom>
      <diagonal/>
    </border>
    <border>
      <left/>
      <right style="hair">
        <color theme="4" tint="-0.499984740745262"/>
      </right>
      <top style="hair">
        <color theme="4" tint="-0.499984740745262"/>
      </top>
      <bottom style="thin">
        <color theme="4" tint="0.39997558519241921"/>
      </bottom>
      <diagonal/>
    </border>
    <border>
      <left/>
      <right/>
      <top/>
      <bottom style="hair">
        <color theme="4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theme="4" tint="-0.499984740745262"/>
      </top>
      <bottom style="hair">
        <color theme="4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theme="4" tint="-0.499984740745262"/>
      </left>
      <right/>
      <top style="hair">
        <color theme="4" tint="-0.499984740745262"/>
      </top>
      <bottom style="hair">
        <color theme="4" tint="-0.499984740745262"/>
      </bottom>
      <diagonal/>
    </border>
    <border>
      <left/>
      <right style="thin">
        <color indexed="64"/>
      </right>
      <top/>
      <bottom style="hair">
        <color theme="4" tint="-0.499984740745262"/>
      </bottom>
      <diagonal/>
    </border>
    <border>
      <left style="hair">
        <color theme="4" tint="-0.499984740745262"/>
      </left>
      <right style="hair">
        <color theme="4" tint="-0.499984740745262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 style="hair">
        <color theme="4" tint="-0.499984740745262"/>
      </left>
      <right style="hair">
        <color rgb="FF1F4E78"/>
      </right>
      <top style="hair">
        <color theme="4" tint="-0.499984740745262"/>
      </top>
      <bottom style="thin">
        <color theme="4" tint="0.39997558519241921"/>
      </bottom>
      <diagonal/>
    </border>
    <border>
      <left style="hair">
        <color theme="4" tint="-0.499984740745262"/>
      </left>
      <right style="hair">
        <color theme="4" tint="-0.499984740745262"/>
      </right>
      <top style="hair">
        <color theme="4" tint="-0.499984740745262"/>
      </top>
      <bottom style="thin">
        <color rgb="FF9BC2E6"/>
      </bottom>
      <diagonal/>
    </border>
    <border>
      <left style="hair">
        <color theme="4" tint="-0.499984740745262"/>
      </left>
      <right style="hair">
        <color rgb="FF1F4E78"/>
      </right>
      <top style="hair">
        <color theme="4" tint="-0.499984740745262"/>
      </top>
      <bottom style="thin">
        <color rgb="FF9BC2E6"/>
      </bottom>
      <diagonal/>
    </border>
    <border>
      <left/>
      <right style="hair">
        <color theme="4" tint="-0.499984740745262"/>
      </right>
      <top style="hair">
        <color theme="4" tint="-0.499984740745262"/>
      </top>
      <bottom style="hair">
        <color theme="4" tint="-0.499984740745262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hair">
        <color theme="4" tint="-0.499984740745262"/>
      </left>
      <right style="hair">
        <color rgb="FF1F4E78"/>
      </right>
      <top style="hair">
        <color theme="4" tint="-0.499984740745262"/>
      </top>
      <bottom/>
      <diagonal/>
    </border>
    <border>
      <left style="hair">
        <color theme="4" tint="-0.499984740745262"/>
      </left>
      <right/>
      <top style="hair">
        <color theme="4" tint="-0.499984740745262"/>
      </top>
      <bottom style="thin">
        <color theme="4" tint="0.39997558519241921"/>
      </bottom>
      <diagonal/>
    </border>
    <border>
      <left style="hair">
        <color theme="4" tint="-0.499984740745262"/>
      </left>
      <right/>
      <top/>
      <bottom/>
      <diagonal/>
    </border>
    <border>
      <left style="hair">
        <color rgb="FF1F4E78"/>
      </left>
      <right style="hair">
        <color theme="4" tint="-0.499984740745262"/>
      </right>
      <top style="hair">
        <color theme="4" tint="-0.499984740745262"/>
      </top>
      <bottom style="thin">
        <color theme="4" tint="0.39997558519241921"/>
      </bottom>
      <diagonal/>
    </border>
    <border>
      <left style="hair">
        <color theme="4" tint="-0.499984740745262"/>
      </left>
      <right style="hair">
        <color theme="4" tint="-0.499984740745262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9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164" fontId="2" fillId="2" borderId="2" xfId="1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 wrapText="1"/>
    </xf>
    <xf numFmtId="165" fontId="3" fillId="3" borderId="5" xfId="0" applyNumberFormat="1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164" fontId="3" fillId="3" borderId="5" xfId="1" applyFont="1" applyFill="1" applyBorder="1" applyAlignment="1">
      <alignment horizontal="left" vertical="top"/>
    </xf>
    <xf numFmtId="164" fontId="3" fillId="4" borderId="5" xfId="1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 wrapText="1"/>
    </xf>
    <xf numFmtId="165" fontId="4" fillId="3" borderId="5" xfId="0" applyNumberFormat="1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  <xf numFmtId="164" fontId="4" fillId="3" borderId="5" xfId="1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left" vertical="top" wrapText="1"/>
    </xf>
    <xf numFmtId="166" fontId="3" fillId="3" borderId="9" xfId="0" applyNumberFormat="1" applyFont="1" applyFill="1" applyBorder="1" applyAlignment="1">
      <alignment horizontal="left" vertical="top"/>
    </xf>
    <xf numFmtId="2" fontId="3" fillId="3" borderId="9" xfId="0" applyNumberFormat="1" applyFont="1" applyFill="1" applyBorder="1" applyAlignment="1">
      <alignment horizontal="left" vertical="top"/>
    </xf>
    <xf numFmtId="168" fontId="3" fillId="3" borderId="9" xfId="1" applyNumberFormat="1" applyFont="1" applyFill="1" applyBorder="1" applyAlignment="1">
      <alignment horizontal="left" vertical="top"/>
    </xf>
    <xf numFmtId="164" fontId="3" fillId="3" borderId="9" xfId="1" applyFont="1" applyFill="1" applyBorder="1" applyAlignment="1">
      <alignment horizontal="left" vertical="top"/>
    </xf>
    <xf numFmtId="168" fontId="3" fillId="3" borderId="9" xfId="0" applyNumberFormat="1" applyFont="1" applyFill="1" applyBorder="1" applyAlignment="1">
      <alignment horizontal="left" vertical="top"/>
    </xf>
    <xf numFmtId="43" fontId="3" fillId="3" borderId="9" xfId="0" applyNumberFormat="1" applyFont="1" applyFill="1" applyBorder="1" applyAlignment="1">
      <alignment horizontal="left" vertical="top"/>
    </xf>
    <xf numFmtId="167" fontId="3" fillId="3" borderId="9" xfId="1" applyNumberFormat="1" applyFont="1" applyFill="1" applyBorder="1" applyAlignment="1">
      <alignment horizontal="left" vertical="top"/>
    </xf>
    <xf numFmtId="166" fontId="4" fillId="3" borderId="9" xfId="0" applyNumberFormat="1" applyFont="1" applyFill="1" applyBorder="1" applyAlignment="1">
      <alignment horizontal="left" vertical="top"/>
    </xf>
    <xf numFmtId="164" fontId="4" fillId="3" borderId="9" xfId="1" applyFont="1" applyFill="1" applyBorder="1" applyAlignment="1">
      <alignment horizontal="left" vertical="top"/>
    </xf>
    <xf numFmtId="43" fontId="4" fillId="3" borderId="9" xfId="0" applyNumberFormat="1" applyFont="1" applyFill="1" applyBorder="1" applyAlignment="1">
      <alignment horizontal="left" vertical="top"/>
    </xf>
    <xf numFmtId="168" fontId="4" fillId="3" borderId="10" xfId="0" applyNumberFormat="1" applyFont="1" applyFill="1" applyBorder="1" applyAlignment="1">
      <alignment horizontal="left" vertical="top"/>
    </xf>
    <xf numFmtId="0" fontId="5" fillId="2" borderId="11" xfId="0" applyFont="1" applyFill="1" applyBorder="1"/>
    <xf numFmtId="0" fontId="3" fillId="0" borderId="0" xfId="0" applyFont="1"/>
    <xf numFmtId="0" fontId="5" fillId="2" borderId="0" xfId="0" applyFont="1" applyFill="1"/>
    <xf numFmtId="0" fontId="6" fillId="2" borderId="0" xfId="0" applyFont="1" applyFill="1"/>
    <xf numFmtId="0" fontId="6" fillId="2" borderId="12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7" fillId="0" borderId="14" xfId="0" applyFont="1" applyBorder="1"/>
    <xf numFmtId="0" fontId="7" fillId="0" borderId="0" xfId="0" applyFont="1"/>
    <xf numFmtId="0" fontId="8" fillId="0" borderId="0" xfId="0" applyFont="1"/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7" fillId="0" borderId="7" xfId="0" applyFont="1" applyBorder="1"/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164" fontId="3" fillId="3" borderId="6" xfId="1" applyFont="1" applyFill="1" applyBorder="1" applyAlignment="1">
      <alignment horizontal="left" vertical="top"/>
    </xf>
    <xf numFmtId="164" fontId="4" fillId="3" borderId="6" xfId="1" applyFont="1" applyFill="1" applyBorder="1" applyAlignment="1">
      <alignment horizontal="left" vertical="top"/>
    </xf>
    <xf numFmtId="0" fontId="2" fillId="2" borderId="2" xfId="1" applyNumberFormat="1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top" wrapText="1"/>
    </xf>
    <xf numFmtId="164" fontId="3" fillId="3" borderId="21" xfId="1" applyFont="1" applyFill="1" applyBorder="1" applyAlignment="1">
      <alignment horizontal="left" vertical="top"/>
    </xf>
    <xf numFmtId="0" fontId="0" fillId="0" borderId="24" xfId="0" applyBorder="1"/>
    <xf numFmtId="0" fontId="0" fillId="0" borderId="25" xfId="0" applyBorder="1"/>
    <xf numFmtId="168" fontId="3" fillId="3" borderId="10" xfId="0" applyNumberFormat="1" applyFont="1" applyFill="1" applyBorder="1" applyAlignment="1">
      <alignment horizontal="left" vertical="top"/>
    </xf>
    <xf numFmtId="0" fontId="2" fillId="2" borderId="11" xfId="1" applyNumberFormat="1" applyFont="1" applyFill="1" applyBorder="1" applyAlignment="1">
      <alignment horizontal="center" vertical="top" wrapText="1"/>
    </xf>
    <xf numFmtId="166" fontId="3" fillId="4" borderId="5" xfId="1" applyNumberFormat="1" applyFont="1" applyFill="1" applyBorder="1" applyAlignment="1">
      <alignment horizontal="left" vertical="top"/>
    </xf>
    <xf numFmtId="166" fontId="4" fillId="3" borderId="5" xfId="1" applyNumberFormat="1" applyFont="1" applyFill="1" applyBorder="1" applyAlignment="1">
      <alignment horizontal="left" vertical="top"/>
    </xf>
    <xf numFmtId="0" fontId="2" fillId="2" borderId="23" xfId="0" applyFont="1" applyFill="1" applyBorder="1" applyAlignment="1">
      <alignment horizontal="center" vertical="center" wrapText="1"/>
    </xf>
    <xf numFmtId="164" fontId="4" fillId="3" borderId="10" xfId="1" applyFont="1" applyFill="1" applyBorder="1" applyAlignment="1">
      <alignment horizontal="left" vertical="top"/>
    </xf>
    <xf numFmtId="164" fontId="12" fillId="3" borderId="9" xfId="1" applyFont="1" applyFill="1" applyBorder="1" applyAlignment="1">
      <alignment horizontal="left" vertical="top"/>
    </xf>
    <xf numFmtId="164" fontId="3" fillId="4" borderId="26" xfId="1" applyFont="1" applyFill="1" applyBorder="1" applyAlignment="1">
      <alignment horizontal="left" vertical="top"/>
    </xf>
    <xf numFmtId="166" fontId="4" fillId="3" borderId="28" xfId="1" applyNumberFormat="1" applyFont="1" applyFill="1" applyBorder="1" applyAlignment="1">
      <alignment horizontal="left" vertical="top"/>
    </xf>
    <xf numFmtId="166" fontId="3" fillId="4" borderId="26" xfId="1" applyNumberFormat="1" applyFont="1" applyFill="1" applyBorder="1" applyAlignment="1">
      <alignment horizontal="left" vertical="top"/>
    </xf>
    <xf numFmtId="164" fontId="0" fillId="0" borderId="0" xfId="1" applyFont="1"/>
    <xf numFmtId="164" fontId="3" fillId="3" borderId="9" xfId="1" applyFont="1" applyFill="1" applyBorder="1" applyAlignment="1">
      <alignment horizontal="left" vertical="top" wrapText="1"/>
    </xf>
    <xf numFmtId="164" fontId="4" fillId="3" borderId="27" xfId="1" applyFont="1" applyFill="1" applyBorder="1" applyAlignment="1">
      <alignment horizontal="left" vertical="top"/>
    </xf>
    <xf numFmtId="164" fontId="0" fillId="0" borderId="0" xfId="0" applyNumberFormat="1"/>
    <xf numFmtId="166" fontId="4" fillId="3" borderId="10" xfId="1" applyNumberFormat="1" applyFont="1" applyFill="1" applyBorder="1" applyAlignment="1">
      <alignment horizontal="left" vertical="top"/>
    </xf>
    <xf numFmtId="43" fontId="3" fillId="4" borderId="26" xfId="1" applyNumberFormat="1" applyFont="1" applyFill="1" applyBorder="1" applyAlignment="1">
      <alignment horizontal="left" vertical="top"/>
    </xf>
    <xf numFmtId="164" fontId="3" fillId="3" borderId="10" xfId="1" applyFont="1" applyFill="1" applyBorder="1" applyAlignment="1">
      <alignment horizontal="left" vertical="top"/>
    </xf>
    <xf numFmtId="0" fontId="13" fillId="0" borderId="0" xfId="0" applyFont="1"/>
    <xf numFmtId="0" fontId="14" fillId="0" borderId="0" xfId="0" applyFont="1"/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8" fillId="0" borderId="29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4" fontId="0" fillId="0" borderId="0" xfId="0" applyNumberFormat="1"/>
    <xf numFmtId="4" fontId="15" fillId="0" borderId="0" xfId="0" applyNumberFormat="1" applyFont="1"/>
    <xf numFmtId="43" fontId="0" fillId="0" borderId="0" xfId="0" applyNumberFormat="1"/>
    <xf numFmtId="166" fontId="3" fillId="4" borderId="32" xfId="1" applyNumberFormat="1" applyFont="1" applyFill="1" applyBorder="1" applyAlignment="1">
      <alignment horizontal="left" vertical="top"/>
    </xf>
    <xf numFmtId="166" fontId="3" fillId="4" borderId="33" xfId="1" applyNumberFormat="1" applyFont="1" applyFill="1" applyBorder="1" applyAlignment="1">
      <alignment horizontal="left" vertical="top"/>
    </xf>
    <xf numFmtId="164" fontId="3" fillId="3" borderId="9" xfId="2" applyFont="1" applyFill="1" applyBorder="1" applyAlignment="1">
      <alignment horizontal="left" vertical="top"/>
    </xf>
    <xf numFmtId="166" fontId="0" fillId="0" borderId="0" xfId="0" applyNumberFormat="1"/>
    <xf numFmtId="0" fontId="3" fillId="5" borderId="5" xfId="0" applyFont="1" applyFill="1" applyBorder="1" applyAlignment="1">
      <alignment horizontal="left" vertical="top" wrapText="1"/>
    </xf>
    <xf numFmtId="164" fontId="15" fillId="0" borderId="0" xfId="1" applyFont="1"/>
    <xf numFmtId="0" fontId="16" fillId="6" borderId="1" xfId="0" applyFont="1" applyFill="1" applyBorder="1" applyAlignment="1">
      <alignment horizontal="left" vertical="top" wrapText="1"/>
    </xf>
    <xf numFmtId="0" fontId="16" fillId="6" borderId="2" xfId="0" applyFont="1" applyFill="1" applyBorder="1" applyAlignment="1">
      <alignment horizontal="left" vertical="top" wrapText="1"/>
    </xf>
    <xf numFmtId="0" fontId="16" fillId="6" borderId="8" xfId="0" applyFont="1" applyFill="1" applyBorder="1" applyAlignment="1">
      <alignment horizontal="left" vertical="top" wrapText="1"/>
    </xf>
    <xf numFmtId="0" fontId="16" fillId="6" borderId="3" xfId="0" applyFont="1" applyFill="1" applyBorder="1" applyAlignment="1">
      <alignment horizontal="left" vertical="top" wrapText="1"/>
    </xf>
    <xf numFmtId="164" fontId="16" fillId="6" borderId="2" xfId="1" applyFont="1" applyFill="1" applyBorder="1" applyAlignment="1">
      <alignment horizontal="left" vertical="top" wrapText="1"/>
    </xf>
    <xf numFmtId="0" fontId="17" fillId="0" borderId="0" xfId="0" applyFont="1"/>
    <xf numFmtId="0" fontId="16" fillId="0" borderId="2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3" borderId="35" xfId="0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 wrapText="1"/>
    </xf>
    <xf numFmtId="165" fontId="3" fillId="3" borderId="9" xfId="0" applyNumberFormat="1" applyFont="1" applyFill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/>
    </xf>
    <xf numFmtId="164" fontId="16" fillId="6" borderId="36" xfId="1" applyFont="1" applyFill="1" applyBorder="1" applyAlignment="1">
      <alignment horizontal="left" vertical="top" wrapText="1"/>
    </xf>
    <xf numFmtId="164" fontId="16" fillId="6" borderId="0" xfId="1" applyFont="1" applyFill="1" applyBorder="1" applyAlignment="1">
      <alignment horizontal="center" vertical="center" wrapText="1"/>
    </xf>
    <xf numFmtId="164" fontId="16" fillId="6" borderId="5" xfId="1" applyFont="1" applyFill="1" applyBorder="1" applyAlignment="1">
      <alignment horizontal="left" vertical="top" wrapText="1"/>
    </xf>
    <xf numFmtId="164" fontId="16" fillId="6" borderId="34" xfId="1" applyFont="1" applyFill="1" applyBorder="1" applyAlignment="1">
      <alignment horizontal="left" vertical="top" wrapText="1"/>
    </xf>
    <xf numFmtId="164" fontId="17" fillId="0" borderId="0" xfId="1" applyFont="1"/>
    <xf numFmtId="164" fontId="16" fillId="0" borderId="36" xfId="1" applyFont="1" applyBorder="1" applyAlignment="1">
      <alignment horizontal="left" vertical="top" wrapText="1"/>
    </xf>
    <xf numFmtId="164" fontId="16" fillId="0" borderId="5" xfId="1" applyFont="1" applyBorder="1" applyAlignment="1">
      <alignment horizontal="left" vertical="top" wrapText="1"/>
    </xf>
    <xf numFmtId="164" fontId="16" fillId="0" borderId="6" xfId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2" fillId="3" borderId="5" xfId="0" applyFont="1" applyFill="1" applyBorder="1" applyAlignment="1">
      <alignment horizontal="left" vertical="top" wrapText="1"/>
    </xf>
    <xf numFmtId="164" fontId="7" fillId="3" borderId="5" xfId="1" applyFont="1" applyFill="1" applyBorder="1" applyAlignment="1">
      <alignment horizontal="left" vertical="top"/>
    </xf>
    <xf numFmtId="164" fontId="7" fillId="3" borderId="6" xfId="1" applyFont="1" applyFill="1" applyBorder="1" applyAlignment="1">
      <alignment horizontal="left" vertical="top"/>
    </xf>
    <xf numFmtId="166" fontId="7" fillId="3" borderId="9" xfId="0" applyNumberFormat="1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165" fontId="3" fillId="3" borderId="0" xfId="0" applyNumberFormat="1" applyFont="1" applyFill="1" applyAlignment="1">
      <alignment horizontal="left" vertical="top"/>
    </xf>
    <xf numFmtId="166" fontId="2" fillId="2" borderId="30" xfId="0" applyNumberFormat="1" applyFont="1" applyFill="1" applyBorder="1" applyAlignment="1">
      <alignment horizontal="center" vertical="center" wrapText="1"/>
    </xf>
    <xf numFmtId="166" fontId="2" fillId="2" borderId="31" xfId="0" applyNumberFormat="1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top" wrapText="1"/>
    </xf>
    <xf numFmtId="0" fontId="2" fillId="2" borderId="11" xfId="1" applyNumberFormat="1" applyFont="1" applyFill="1" applyBorder="1" applyAlignment="1">
      <alignment horizontal="center" vertical="top" wrapText="1"/>
    </xf>
    <xf numFmtId="0" fontId="2" fillId="2" borderId="20" xfId="1" applyNumberFormat="1" applyFont="1" applyFill="1" applyBorder="1" applyAlignment="1">
      <alignment horizontal="center" vertical="top" wrapText="1"/>
    </xf>
    <xf numFmtId="0" fontId="2" fillId="2" borderId="23" xfId="0" applyFont="1" applyFill="1" applyBorder="1" applyAlignment="1">
      <alignment horizontal="center" vertical="center" wrapText="1"/>
    </xf>
    <xf numFmtId="164" fontId="2" fillId="2" borderId="23" xfId="1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164" fontId="16" fillId="6" borderId="23" xfId="1" applyFont="1" applyFill="1" applyBorder="1" applyAlignment="1">
      <alignment horizontal="center" vertical="center" wrapText="1"/>
    </xf>
    <xf numFmtId="0" fontId="16" fillId="6" borderId="22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D79D86AD-B209-4ECC-80E4-43CABA3907E5}"/>
    <cellStyle name="Normal" xfId="0" builtinId="0"/>
  </cellStyles>
  <dxfs count="1719">
    <dxf>
      <font>
        <color rgb="FF9C0006"/>
      </font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theme="4" tint="-0.499984740745262"/>
        </top>
      </border>
    </dxf>
    <dxf>
      <font>
        <b/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border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[$-409]d\-mmm\-yy;@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9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4" formatCode="_-* #,##0.00_-;\-* #,##0.00_-;_-* &quot;-&quot;??_-;_-@_-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6" tint="0.79998168889431442"/>
          <bgColor theme="6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/>
      </border>
    </dxf>
    <dxf>
      <border outline="0">
        <top style="hair">
          <color rgb="FF1F4E78"/>
        </top>
      </border>
    </dxf>
    <dxf>
      <font>
        <b/>
        <strike val="0"/>
        <outline val="0"/>
        <shadow val="0"/>
        <u val="none"/>
        <vertAlign val="baseline"/>
        <sz val="11"/>
        <color rgb="FF1F4E78"/>
        <name val="Calibri Light"/>
        <family val="2"/>
        <scheme val="none"/>
      </font>
      <fill>
        <patternFill patternType="none">
          <fgColor rgb="FF000000"/>
          <bgColor auto="1"/>
        </patternFill>
      </fill>
    </dxf>
    <dxf>
      <border outline="0">
        <left style="hair">
          <color rgb="FF1F4E78"/>
        </left>
        <right style="hair">
          <color rgb="FF1F4E78"/>
        </right>
        <top style="hair">
          <color rgb="FF1F4E78"/>
        </top>
        <bottom style="thin">
          <color rgb="FF9BC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none"/>
      </font>
      <fill>
        <patternFill patternType="solid">
          <fgColor rgb="FFEDEDED"/>
          <bgColor rgb="FFEDEDED"/>
        </patternFill>
      </fill>
      <alignment horizontal="left" vertical="top" textRotation="0" wrapText="0" indent="0" justifyLastLine="0" shrinkToFit="0" readingOrder="0"/>
    </dxf>
    <dxf>
      <border outline="0">
        <bottom style="hair">
          <color rgb="FF1F4E7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top" textRotation="0" wrapText="1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Calibri Light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theme="0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border diagonalUp="0" diagonalDown="0" outline="0">
        <left/>
        <right/>
        <top style="hair">
          <color theme="4" tint="-0.499984740745262"/>
        </top>
        <bottom style="hair">
          <color theme="4" tint="-0.499984740745262"/>
        </bottom>
      </border>
    </dxf>
    <dxf>
      <border>
        <top style="hair">
          <color theme="4" tint="-0.499984740745262"/>
        </top>
      </border>
    </dxf>
    <dxf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 style="hair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</dxf>
    <dxf>
      <border>
        <bottom style="hair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/>
        <top style="hair">
          <color theme="4" tint="-0.499984740745262"/>
        </top>
        <bottom style="hair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/>
        <top style="hair">
          <color theme="4" tint="-0.499984740745262"/>
        </top>
        <bottom/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 style="hair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 style="hair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 style="hair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 style="hair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  <border diagonalUp="0" diagonalDown="0" outline="0">
        <left/>
        <right style="hair">
          <color theme="4" tint="-0.499984740745262"/>
        </right>
        <top style="hair">
          <color theme="4" tint="-0.499984740745262"/>
        </top>
        <bottom style="hair">
          <color theme="4" tint="-0.499984740745262"/>
        </bottom>
      </border>
    </dxf>
    <dxf>
      <border>
        <top style="hair">
          <color theme="4" tint="-0.499984740745262"/>
        </top>
      </border>
    </dxf>
    <dxf>
      <border diagonalUp="0" diagonalDown="0">
        <left style="hair">
          <color theme="4" tint="-0.499984740745262"/>
        </left>
        <right style="hair">
          <color theme="4" tint="-0.499984740745262"/>
        </right>
        <top style="hair">
          <color theme="4" tint="-0.499984740745262"/>
        </top>
        <bottom style="hair">
          <color theme="4" tint="-0.499984740745262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 Light"/>
        <family val="2"/>
        <scheme val="major"/>
      </font>
      <alignment horizontal="left" vertical="top" textRotation="0" wrapText="0" indent="0" justifyLastLine="0" shrinkToFit="0" readingOrder="0"/>
    </dxf>
    <dxf>
      <border>
        <bottom style="hair">
          <color theme="4" tint="-0.499984740745262"/>
        </bottom>
      </border>
    </dxf>
    <dxf>
      <font>
        <b val="0"/>
        <strike val="0"/>
        <outline val="0"/>
        <shadow val="0"/>
        <u val="none"/>
        <vertAlign val="baseline"/>
        <sz val="11"/>
        <color theme="0"/>
        <name val="Calibri Light"/>
        <family val="2"/>
        <scheme val="major"/>
      </font>
      <fill>
        <patternFill patternType="solid">
          <fgColor indexed="64"/>
          <bgColor theme="4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hair">
          <color theme="4" tint="-0.499984740745262"/>
        </left>
        <right style="hair">
          <color theme="4" tint="-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6169E1F-ADD7-41B8-944A-6420BECE1421}" name="Table2" displayName="Table2" ref="A1:G362" totalsRowShown="0" headerRowDxfId="1718" dataDxfId="1716" headerRowBorderDxfId="1717" tableBorderDxfId="1715" totalsRowBorderDxfId="1714">
  <tableColumns count="7">
    <tableColumn id="1" xr3:uid="{DE08BE18-57D1-451C-8004-F5EB4C125C92}" name="SN" dataDxfId="1713"/>
    <tableColumn id="3" xr3:uid="{BA866FDA-3E00-469F-AE0F-7E5AB98EEE0F}" name="SYMBOL" dataDxfId="1712"/>
    <tableColumn id="7" xr3:uid="{D27946FE-A669-4B62-A274-D2B10B030874}" name="Company Name" dataDxfId="1711"/>
    <tableColumn id="8" xr3:uid="{E4E89B33-F797-4D0B-85B2-F71829DD136F}" name="SYMBOL2" dataDxfId="1710"/>
    <tableColumn id="5" xr3:uid="{EC44F700-7772-42AE-B81E-0B071BB0B4DC}" name="Sector " dataDxfId="1709"/>
    <tableColumn id="2" xr3:uid="{0FD75A5C-6CBD-42CC-B808-F1C62EF5948F}" name="SYMBOL3" dataDxfId="1708"/>
    <tableColumn id="6" xr3:uid="{445E55EE-55F8-4A49-9BD2-302D0CE2A0D3}" name="Instrument " dataDxfId="170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7090EA-DA21-4724-A49F-ED9B0434575A}" name="Table19" displayName="Table19" ref="A1:A7" totalsRowShown="0" headerRowDxfId="1706" dataDxfId="1704" headerRowBorderDxfId="1705" tableBorderDxfId="1703" totalsRowBorderDxfId="1702">
  <tableColumns count="1">
    <tableColumn id="1" xr3:uid="{8080025A-78EA-42C4-96E5-C3FE03E1326B}" name="TRANSACTION TYPE" dataDxfId="1701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5DB69D-22DB-4F15-9DBC-54C635850586}" name="Table26" displayName="Table26" ref="C1:C3" totalsRowShown="0" headerRowDxfId="1700" dataDxfId="1699">
  <tableColumns count="1">
    <tableColumn id="1" xr3:uid="{4369A228-BB9D-457F-B476-A5FC2BA5B352}" name="FISCAL YEAR" dataDxfId="1698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6A802-F213-46BD-B12C-98EC2E0F00C5}" name="Table5" displayName="Table5" ref="E1:E4" totalsRowShown="0" headerRowDxfId="1697" dataDxfId="1696">
  <tableColumns count="1">
    <tableColumn id="1" xr3:uid="{42D97D82-B31C-4C7A-9630-113E7B707FF5}" name="INVESTMENT APPROACH" dataDxfId="1695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60D978-D6C0-405C-812C-049F3213C438}" name="Table9" displayName="Table9" ref="G1:H15" totalsRowShown="0" headerRowDxfId="1694" dataDxfId="1692" headerRowBorderDxfId="1693" tableBorderDxfId="1691" totalsRowBorderDxfId="1690">
  <tableColumns count="2">
    <tableColumn id="1" xr3:uid="{3CA3B7D9-2C11-411C-96B3-514751DC1C3C}" name="SECTOR" dataDxfId="1689"/>
    <tableColumn id="2" xr3:uid="{96D65B9D-2FD7-403A-A5C0-0EF0CC6A75DC}" name="STOP LOSS CEILING(%)" dataDxfId="1688"/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DB490A5-BF2A-4DCF-9DFE-EC6CCBE54F91}" name="Table242830891013141516232425323334353637" displayName="Table242830891013141516232425323334353637" ref="A3:K51" headerRowDxfId="1687" dataDxfId="1685" totalsRowDxfId="1683" headerRowBorderDxfId="1686" tableBorderDxfId="1684" totalsRowBorderDxfId="1682">
  <tableColumns count="11">
    <tableColumn id="1" xr3:uid="{647AD513-CDE4-4152-A260-F2BCC020E9A7}" name="S.No" totalsRowLabel="Total" dataDxfId="1681" totalsRowDxfId="1680"/>
    <tableColumn id="2" xr3:uid="{2D500FEA-BF87-46E9-8EEB-C34AA262712C}" name="SYMBOL" dataDxfId="1679" totalsRowDxfId="1678">
      <calculatedColumnFormula>SHL!B11</calculatedColumnFormula>
    </tableColumn>
    <tableColumn id="4" xr3:uid="{5AE599DE-3F30-45ED-9201-A24F2357165D}" name="Sector" dataDxfId="1677" totalsRowDxfId="1676">
      <calculatedColumnFormula>VLOOKUP(Table242830891013141516232425323334353637[[#This Row],[SYMBOL]],Table2[[SYMBOL2]:[Sector ]],2,)</calculatedColumnFormula>
    </tableColumn>
    <tableColumn id="5" xr3:uid="{97330433-7ACD-4E7A-8EA9-87586B4C0B5D}" name="Purchase QTY" dataDxfId="1675" totalsRowDxfId="1674" dataCellStyle="Comma"/>
    <tableColumn id="7" xr3:uid="{12622668-A713-4ADE-97C7-CE1042271128}" name="Total Purchase Amount" dataDxfId="1673" totalsRowDxfId="1672" dataCellStyle="Comma"/>
    <tableColumn id="13" xr3:uid="{C0BAE8F7-F7C4-4444-B0BB-1FACAD25048C}" name="Sales Qty" dataDxfId="1671" totalsRowDxfId="1670" dataCellStyle="Comma"/>
    <tableColumn id="9" xr3:uid="{BA2B2FC1-1E5A-45F2-9C54-CB707115DFD0}" name="Sales Amt" dataDxfId="1669" totalsRowDxfId="1668" dataCellStyle="Comma">
      <calculatedColumnFormula>Table242830891013141516232425323334353637[[#This Row],[Sales Qty]]*#REF!</calculatedColumnFormula>
    </tableColumn>
    <tableColumn id="3" xr3:uid="{7D183C48-66B3-4FF1-BAF1-113D9CFC02A2}" name="TC AP NFRS" dataDxfId="1667" totalsRowDxfId="1666" dataCellStyle="Comma">
      <calculatedColumnFormula>SHL!M11</calculatedColumnFormula>
    </tableColumn>
    <tableColumn id="24" xr3:uid="{F175578A-416C-467E-AC80-86FC4E6464BB}" name="Closing Unit" dataDxfId="1665" totalsRowDxfId="1664" dataCellStyle="Comma"/>
    <tableColumn id="26" xr3:uid="{D3F8DE0E-5BD5-469D-8C51-3D370299DBF1}" name="WACC AP NFRS" dataDxfId="1663" dataCellStyle="Comma">
      <calculatedColumnFormula>#REF!/Table242830891013141516232425323334353637[[#This Row],[Closing Unit]]</calculatedColumnFormula>
    </tableColumn>
    <tableColumn id="21" xr3:uid="{AE6BAAEE-11D3-4588-BA81-52A6721DD604}" name="P/L AP NFRS" totalsRowFunction="sum" dataDxfId="1662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41315A3-9748-4B4C-BD73-268365AADE2D}" name="Table242830891013141516232425323334353641" displayName="Table242830891013141516232425323334353641" ref="A6:P11" headerRowDxfId="1661" dataDxfId="1659" totalsRowDxfId="1657" headerRowBorderDxfId="1660" tableBorderDxfId="1658" totalsRowBorderDxfId="1656">
  <tableColumns count="16">
    <tableColumn id="1" xr3:uid="{032457F4-6C12-4929-ADB5-6A050C938BAD}" name="S.No" totalsRowLabel="Total" dataDxfId="1655" totalsRowDxfId="1654"/>
    <tableColumn id="2" xr3:uid="{70992049-57CB-4D90-A110-F748AD5654FA}" name="SYMBOL" dataDxfId="1653" totalsRowDxfId="1652"/>
    <tableColumn id="12" xr3:uid="{3D28C2A7-46AC-4615-9B59-B6607DE523D9}" name="Bill No" dataDxfId="1651" totalsRowDxfId="1650"/>
    <tableColumn id="3" xr3:uid="{FD168BAA-EF17-4E2D-BA4B-6FFB8BAFB3B5}" name="Txn Date" dataDxfId="1649"/>
    <tableColumn id="4" xr3:uid="{FC037A63-A58F-43DB-A4AA-1FDBB0F8DF80}" name="Txn Type" dataDxfId="1648"/>
    <tableColumn id="5" xr3:uid="{BEE89D7F-8C41-43D5-B505-BE98712A448D}" name="Purchase QTY" dataDxfId="1647" totalsRowDxfId="1646" dataCellStyle="Comma"/>
    <tableColumn id="6" xr3:uid="{66502A7A-4AFD-4239-8C78-BDF4205348EC}" name="PPPU" dataDxfId="1645" totalsRowDxfId="1644" dataCellStyle="Comma">
      <calculatedColumnFormula>Table242830891013141516232425323334353641[[#This Row],[Total Purchase Amount]]/Table242830891013141516232425323334353641[[#This Row],[Purchase QTY]]</calculatedColumnFormula>
    </tableColumn>
    <tableColumn id="7" xr3:uid="{C6D27FF1-E795-41FE-AD11-BACB125989CE}" name="Total Purchase Amount" dataDxfId="1643" totalsRowDxfId="1642" dataCellStyle="Comma"/>
    <tableColumn id="13" xr3:uid="{4BAB8735-4A9B-43E6-BED0-9A1E9A0F9AFE}" name="Sales Qty" dataDxfId="1641" totalsRowDxfId="1640" dataCellStyle="Comma"/>
    <tableColumn id="8" xr3:uid="{5DA75D8D-A47A-40D9-9BB4-A7BF5537AE15}" name="SPPU" dataDxfId="1639" totalsRowDxfId="1638" dataCellStyle="Comma">
      <calculatedColumnFormula>Table242830891013141516232425323334353641[[#This Row],[Sales Amt]]/Table242830891013141516232425323334353641[[#This Row],[Sales Qty]]</calculatedColumnFormula>
    </tableColumn>
    <tableColumn id="9" xr3:uid="{341CC726-B533-411A-96E2-10FE4FD9BA4C}" name="Sales Amt" dataDxfId="1637" totalsRowDxfId="1636" dataCellStyle="Comma">
      <calculatedColumnFormula>Table242830891013141516232425323334353641[[#This Row],[Sales Qty]]*Table242830891013141516232425323334353641[[#This Row],[SPPU]]</calculatedColumnFormula>
    </tableColumn>
    <tableColumn id="28" xr3:uid="{6F11F583-DE74-4E3B-BDB7-B95038F20101}" name="Principal Cost As per  NFRS (In case of Sales)" totalsRowFunction="sum" dataDxfId="1635" totalsRowDxfId="1634" dataCellStyle="Comma"/>
    <tableColumn id="27" xr3:uid="{DBBCEAD3-580D-407E-91E8-7DC96462389E}" name="TC AP NFRS" dataDxfId="1633" totalsRowDxfId="1632" dataCellStyle="Comma"/>
    <tableColumn id="24" xr3:uid="{1C64534F-F447-4443-BC25-ACE050A7313D}" name="Unit Sum" dataDxfId="1631" totalsRowDxfId="1630" dataCellStyle="Comma"/>
    <tableColumn id="26" xr3:uid="{4FB7644F-D6E6-4C3C-91E5-1641FD39CC03}" name="WACC AP NFRS" dataDxfId="1629" dataCellStyle="Comma">
      <calculatedColumnFormula>Table242830891013141516232425323334353641[[#This Row],[TC AP NFRS]]/Table242830891013141516232425323334353641[[#This Row],[Unit Sum]]</calculatedColumnFormula>
    </tableColumn>
    <tableColumn id="21" xr3:uid="{6373C6EB-608A-484E-86EF-C9B886AC47C5}" name="P/L AP NFRS" totalsRowFunction="sum" dataDxfId="1628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3359A80-C5C9-4C4B-977B-E87FC14D1747}" name="Table2428308910131415162324253233343536" displayName="Table2428308910131415162324253233343536" ref="A6:P11" headerRowDxfId="1627" dataDxfId="1625" totalsRowDxfId="1623" headerRowBorderDxfId="1626" tableBorderDxfId="1624" totalsRowBorderDxfId="1622">
  <tableColumns count="16">
    <tableColumn id="1" xr3:uid="{A3A829C7-1BF9-4B63-B3CA-75CCD6C9B868}" name="S.No" totalsRowLabel="Total" dataDxfId="1621" totalsRowDxfId="1620"/>
    <tableColumn id="2" xr3:uid="{AEBEAAF9-8629-43E4-BC73-D72C28C0F5BD}" name="SYMBOL" dataDxfId="1619" totalsRowDxfId="1618"/>
    <tableColumn id="12" xr3:uid="{C57B35D4-61CF-40A8-84A6-7173FAD6EA32}" name="Bill No" dataDxfId="1617" totalsRowDxfId="1616"/>
    <tableColumn id="3" xr3:uid="{72E7DDAF-5A0A-4260-B693-CC865828FF6F}" name="Txn Date" dataDxfId="1615"/>
    <tableColumn id="4" xr3:uid="{377F3059-0D79-47B4-A809-1A0339711002}" name="Txn Type" dataDxfId="1614"/>
    <tableColumn id="5" xr3:uid="{AE7EFDC5-9C8C-4E9A-A26D-318F6DEA1298}" name="Purchase QTY" dataDxfId="1613" totalsRowDxfId="1612" dataCellStyle="Comma"/>
    <tableColumn id="6" xr3:uid="{21902942-C358-4BB8-9905-058AB8DC1818}" name="PPPU" dataDxfId="1611" totalsRowDxfId="1610" dataCellStyle="Comma">
      <calculatedColumnFormula>Table2428308910131415162324253233343536[[#This Row],[Total Purchase Amount]]/Table2428308910131415162324253233343536[[#This Row],[Purchase QTY]]</calculatedColumnFormula>
    </tableColumn>
    <tableColumn id="7" xr3:uid="{0A7F99B5-D60C-4635-8971-77DF0125381D}" name="Total Purchase Amount" dataDxfId="1609" totalsRowDxfId="1608" dataCellStyle="Comma"/>
    <tableColumn id="13" xr3:uid="{95C074B2-BF84-4CEF-89AA-A99166A17F03}" name="Sales Qty" dataDxfId="1607" totalsRowDxfId="1606" dataCellStyle="Comma"/>
    <tableColumn id="8" xr3:uid="{66618EBA-3FE9-4B10-BE58-81AEB290326C}" name="SPPU" dataDxfId="1605" totalsRowDxfId="1604" dataCellStyle="Comma">
      <calculatedColumnFormula>Table2428308910131415162324253233343536[[#This Row],[Sales Amt]]/Table2428308910131415162324253233343536[[#This Row],[Sales Qty]]</calculatedColumnFormula>
    </tableColumn>
    <tableColumn id="9" xr3:uid="{DDAE89EE-83F4-477B-A87F-B8F0CED3FA62}" name="Sales Amt" dataDxfId="1603" totalsRowDxfId="1602" dataCellStyle="Comma">
      <calculatedColumnFormula>Table2428308910131415162324253233343536[[#This Row],[Sales Qty]]*Table2428308910131415162324253233343536[[#This Row],[SPPU]]</calculatedColumnFormula>
    </tableColumn>
    <tableColumn id="28" xr3:uid="{7D5E8D7E-BB0F-43C2-BBF4-5514232CABCD}" name="Principal Cost As per  NFRS (In case of Sales)" totalsRowFunction="sum" dataDxfId="1601" totalsRowDxfId="1600" dataCellStyle="Comma"/>
    <tableColumn id="27" xr3:uid="{E4355FCC-1B8B-4D9C-B620-D05C6AA03DCA}" name="TC AP NFRS" dataDxfId="1599" totalsRowDxfId="1598" dataCellStyle="Comma"/>
    <tableColumn id="24" xr3:uid="{D2720652-E277-4DAD-879F-690432FA12B9}" name="Unit Sum" dataDxfId="1597" totalsRowDxfId="1596" dataCellStyle="Comma"/>
    <tableColumn id="26" xr3:uid="{3E399593-2A47-41FB-8BDA-A88793081963}" name="WACC AP NFRS" dataDxfId="1595" dataCellStyle="Comma">
      <calculatedColumnFormula>Table2428308910131415162324253233343536[[#This Row],[TC AP NFRS]]/Table2428308910131415162324253233343536[[#This Row],[Unit Sum]]</calculatedColumnFormula>
    </tableColumn>
    <tableColumn id="21" xr3:uid="{B42BF1AB-CB38-4EB5-A834-8FFD3AF585C7}" name="P/L AP NFRS" totalsRowFunction="sum" dataDxfId="1594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3E0D3D7-8E60-4C81-B2F6-59D7164C814C}" name="Table24283089101314151623242532333435" displayName="Table24283089101314151623242532333435" ref="A6:P12" headerRowDxfId="1593" dataDxfId="1591" totalsRowDxfId="1589" headerRowBorderDxfId="1592" tableBorderDxfId="1590" totalsRowBorderDxfId="1588">
  <tableColumns count="16">
    <tableColumn id="1" xr3:uid="{BEAAB224-B99C-4D43-8C30-C9B2A4B929F6}" name="S.No" totalsRowLabel="Total" dataDxfId="1587" totalsRowDxfId="1586"/>
    <tableColumn id="2" xr3:uid="{9CB76F6C-6F9B-4FE9-9EE9-29385870EA22}" name="SYMBOL" dataDxfId="1585" totalsRowDxfId="1584"/>
    <tableColumn id="12" xr3:uid="{C7ABC442-A80F-44C1-AA32-EAF1B70D05F8}" name="Bill No" dataDxfId="1583" totalsRowDxfId="1582"/>
    <tableColumn id="3" xr3:uid="{69CE1CCC-C101-4918-AB4D-F29E0E0D09EA}" name="Txn Date" dataDxfId="1581"/>
    <tableColumn id="4" xr3:uid="{28A8AEC4-B80D-498D-A75D-63A5E46E44C6}" name="Txn Type" dataDxfId="1580"/>
    <tableColumn id="5" xr3:uid="{BE8B7BA0-BB8D-468B-8F25-B02D2B2000BD}" name="Purchase QTY" dataDxfId="1579" totalsRowDxfId="1578" dataCellStyle="Comma"/>
    <tableColumn id="6" xr3:uid="{A1DA4C1E-0FA2-488D-AC27-58327D035267}" name="PPPU" dataDxfId="1577" totalsRowDxfId="1576" dataCellStyle="Comma">
      <calculatedColumnFormula>Table24283089101314151623242532333435[[#This Row],[Total Purchase Amount]]/Table24283089101314151623242532333435[[#This Row],[Purchase QTY]]</calculatedColumnFormula>
    </tableColumn>
    <tableColumn id="7" xr3:uid="{1727DBB7-ABE8-4219-93BF-23F7B2A446AA}" name="Total Purchase Amount" dataDxfId="1575" totalsRowDxfId="1574" dataCellStyle="Comma"/>
    <tableColumn id="13" xr3:uid="{9528264E-EED6-41BC-BF8E-67635FEBB575}" name="Sales Qty" dataDxfId="1573" totalsRowDxfId="1572" dataCellStyle="Comma"/>
    <tableColumn id="8" xr3:uid="{A9543668-E566-426E-8CC6-D6F24A122E3E}" name="SPPU" dataDxfId="1571" totalsRowDxfId="1570" dataCellStyle="Comma">
      <calculatedColumnFormula>Table24283089101314151623242532333435[[#This Row],[Sales Amt]]/Table24283089101314151623242532333435[[#This Row],[Sales Qty]]</calculatedColumnFormula>
    </tableColumn>
    <tableColumn id="9" xr3:uid="{4167FE55-74FA-49B9-A8B0-AB8E98A384DA}" name="Sales Amt" dataDxfId="1569" totalsRowDxfId="1568" dataCellStyle="Comma">
      <calculatedColumnFormula>Table24283089101314151623242532333435[[#This Row],[Sales Qty]]*Table24283089101314151623242532333435[[#This Row],[SPPU]]</calculatedColumnFormula>
    </tableColumn>
    <tableColumn id="28" xr3:uid="{73BA7FB1-3997-4F63-B300-DEC644D1BC1D}" name="Principal Cost As per  NFRS (In case of Sales)" totalsRowFunction="sum" dataDxfId="1567" totalsRowDxfId="1566" dataCellStyle="Comma"/>
    <tableColumn id="27" xr3:uid="{C69D6C77-F2E1-4F33-9F09-96D7C82A2A17}" name="TC AP NFRS" dataDxfId="1565" totalsRowDxfId="1564" dataCellStyle="Comma"/>
    <tableColumn id="24" xr3:uid="{2597FA5C-4C40-4E37-A964-819BD5F1D440}" name="Unit Sum" dataDxfId="1563" totalsRowDxfId="1562" dataCellStyle="Comma"/>
    <tableColumn id="26" xr3:uid="{A209E4B9-C87B-4C4F-865F-A23090277C10}" name="WACC AP NFRS" dataDxfId="1561" dataCellStyle="Comma">
      <calculatedColumnFormula>Table24283089101314151623242532333435[[#This Row],[TC AP NFRS]]/Table24283089101314151623242532333435[[#This Row],[Unit Sum]]</calculatedColumnFormula>
    </tableColumn>
    <tableColumn id="21" xr3:uid="{67C43E99-5F8C-4F32-A3F2-89D7DAED1719}" name="P/L AP NFRS" totalsRowFunction="sum" dataDxfId="1560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B281E8E-4476-48C9-A12E-40FAAE37C3DA}" name="Table242830891013141516232425323334" displayName="Table242830891013141516232425323334" ref="A6:P16" headerRowDxfId="1559" dataDxfId="1557" totalsRowDxfId="1555" headerRowBorderDxfId="1558" tableBorderDxfId="1556" totalsRowBorderDxfId="1554">
  <tableColumns count="16">
    <tableColumn id="1" xr3:uid="{9658A574-2A6E-46F2-88F0-586AF0F5BF01}" name="S.No" totalsRowLabel="Total" dataDxfId="1553" totalsRowDxfId="1552"/>
    <tableColumn id="2" xr3:uid="{F6D28AAA-4CEA-4C07-8466-F9B625A9D010}" name="SYMBOL" dataDxfId="1551" totalsRowDxfId="1550"/>
    <tableColumn id="12" xr3:uid="{345AA19E-D42F-4441-A2E1-EF11999B4DFF}" name="Bill No" dataDxfId="1549" totalsRowDxfId="1548"/>
    <tableColumn id="3" xr3:uid="{AEE1DBE5-E670-49D1-8D45-4A2512DC59CA}" name="Txn Date" dataDxfId="1547"/>
    <tableColumn id="4" xr3:uid="{94FAB40A-67AE-48C9-999D-7D2CECB922F4}" name="Txn Type" dataDxfId="1546"/>
    <tableColumn id="5" xr3:uid="{6D7A25B4-A603-4ABE-830E-926D0307C368}" name="Purchase QTY" dataDxfId="1545" totalsRowDxfId="1544" dataCellStyle="Comma"/>
    <tableColumn id="6" xr3:uid="{920BB5DA-A8F7-4364-A53D-8EE2DDF29037}" name="PPPU" dataDxfId="1543" totalsRowDxfId="1542" dataCellStyle="Comma">
      <calculatedColumnFormula>Table242830891013141516232425323334[[#This Row],[Total Purchase Amount]]/Table242830891013141516232425323334[[#This Row],[Purchase QTY]]</calculatedColumnFormula>
    </tableColumn>
    <tableColumn id="7" xr3:uid="{1C03ADD9-EC83-4F59-8CE7-E471CD02183C}" name="Total Purchase Amount" dataDxfId="1541" totalsRowDxfId="1540" dataCellStyle="Comma"/>
    <tableColumn id="13" xr3:uid="{5EA9A684-5720-41D0-9E7C-64D22E6B1432}" name="Sales Qty" dataDxfId="1539" totalsRowDxfId="1538" dataCellStyle="Comma"/>
    <tableColumn id="8" xr3:uid="{3CB69752-E937-4C31-B7A4-DD5D42943BA8}" name="SPPU" dataDxfId="1537" totalsRowDxfId="1536" dataCellStyle="Comma">
      <calculatedColumnFormula>Table242830891013141516232425323334[[#This Row],[Sales Amt]]/Table242830891013141516232425323334[[#This Row],[Sales Qty]]</calculatedColumnFormula>
    </tableColumn>
    <tableColumn id="9" xr3:uid="{90BEC7E5-28CA-4DE4-B1BC-C80309E72FD1}" name="Sales Amt" dataDxfId="1535" totalsRowDxfId="1534" dataCellStyle="Comma">
      <calculatedColumnFormula>Table242830891013141516232425323334[[#This Row],[Sales Qty]]*Table242830891013141516232425323334[[#This Row],[SPPU]]</calculatedColumnFormula>
    </tableColumn>
    <tableColumn id="28" xr3:uid="{E02CBAAD-59BB-4DA4-8C1C-4EC42E50B8E9}" name="Principal Cost As per  NFRS (In case of Sales)" totalsRowFunction="sum" dataDxfId="1533" totalsRowDxfId="1532" dataCellStyle="Comma"/>
    <tableColumn id="27" xr3:uid="{E9D65049-4911-4EA3-98E1-A76924B5F914}" name="TC AP NFRS" dataDxfId="1531" totalsRowDxfId="1530" dataCellStyle="Comma"/>
    <tableColumn id="24" xr3:uid="{DEFE534C-4494-4D5B-A1EB-8E6260EAD424}" name="Unit Sum" dataDxfId="1529" totalsRowDxfId="1528" dataCellStyle="Comma"/>
    <tableColumn id="26" xr3:uid="{17B58197-771F-4F1F-B4A6-D23D1D9FAE56}" name="WACC AP NFRS" dataDxfId="1527" dataCellStyle="Comma">
      <calculatedColumnFormula>Table242830891013141516232425323334[[#This Row],[TC AP NFRS]]/Table242830891013141516232425323334[[#This Row],[Unit Sum]]</calculatedColumnFormula>
    </tableColumn>
    <tableColumn id="21" xr3:uid="{A92983F5-A516-4B68-A10B-2168D9E8FEA2}" name="P/L AP NFRS" totalsRowFunction="sum" dataDxfId="1526" dataCellStyle="Com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1C79FB5-2BFC-4C55-9C9B-F38CE31B4E38}" name="Table2428308910131415162324253233" displayName="Table2428308910131415162324253233" ref="A6:P16" headerRowDxfId="1525" dataDxfId="1523" totalsRowDxfId="1521" headerRowBorderDxfId="1524" tableBorderDxfId="1522" totalsRowBorderDxfId="1520">
  <tableColumns count="16">
    <tableColumn id="1" xr3:uid="{79CACB7D-0A27-4EAD-891F-A21D6922AF33}" name="S.No" totalsRowLabel="Total" dataDxfId="1519" totalsRowDxfId="1518"/>
    <tableColumn id="2" xr3:uid="{D5653D59-682D-49EB-AD22-CE6C930D9D2E}" name="SYMBOL" dataDxfId="1517" totalsRowDxfId="1516"/>
    <tableColumn id="12" xr3:uid="{EDF82EC9-FA7F-4B89-B309-629C25FC0F47}" name="Bill No" dataDxfId="1515" totalsRowDxfId="1514"/>
    <tableColumn id="3" xr3:uid="{19EF1AC8-6EA3-4AE3-9162-C2C679BE323F}" name="Txn Date" dataDxfId="1513"/>
    <tableColumn id="4" xr3:uid="{9264BE97-9456-4941-AAD9-9FD44E9B2056}" name="Txn Type" dataDxfId="1512"/>
    <tableColumn id="5" xr3:uid="{4603C4FE-895B-4FE4-AA7A-AE0E2ACA56CF}" name="Purchase QTY" dataDxfId="1511" totalsRowDxfId="1510" dataCellStyle="Comma"/>
    <tableColumn id="6" xr3:uid="{B624ACD2-E277-4F58-AFDA-88A8C9597AC6}" name="PPPU" dataDxfId="1509" totalsRowDxfId="1508" dataCellStyle="Comma">
      <calculatedColumnFormula>Table2428308910131415162324253233[[#This Row],[Total Purchase Amount]]/Table2428308910131415162324253233[[#This Row],[Purchase QTY]]</calculatedColumnFormula>
    </tableColumn>
    <tableColumn id="7" xr3:uid="{496BA120-2A3E-4377-A926-D11C0C74B229}" name="Total Purchase Amount" dataDxfId="1507" totalsRowDxfId="1506" dataCellStyle="Comma"/>
    <tableColumn id="13" xr3:uid="{435E5DCE-1A83-4FED-9AD9-2EC947F18BB3}" name="Sales Qty" dataDxfId="1505" totalsRowDxfId="1504" dataCellStyle="Comma"/>
    <tableColumn id="8" xr3:uid="{B81ACEAB-AC3A-417A-9499-12F2C48348DA}" name="SPPU" dataDxfId="1503" totalsRowDxfId="1502" dataCellStyle="Comma">
      <calculatedColumnFormula>Table2428308910131415162324253233[[#This Row],[Sales Amt]]/Table2428308910131415162324253233[[#This Row],[Sales Qty]]</calculatedColumnFormula>
    </tableColumn>
    <tableColumn id="9" xr3:uid="{4A98CA97-61E7-4F05-AFB6-FBE60828DE84}" name="Sales Amt" dataDxfId="1501" totalsRowDxfId="1500" dataCellStyle="Comma">
      <calculatedColumnFormula>Table2428308910131415162324253233[[#This Row],[Sales Qty]]*Table2428308910131415162324253233[[#This Row],[SPPU]]</calculatedColumnFormula>
    </tableColumn>
    <tableColumn id="28" xr3:uid="{8C370114-D9A3-409A-BABC-F1E94926B62D}" name="Principal Cost As per  NFRS (In case of Sales)" totalsRowFunction="sum" dataDxfId="1499" totalsRowDxfId="1498" dataCellStyle="Comma"/>
    <tableColumn id="27" xr3:uid="{30473AAD-1AC0-4A09-9643-C685B3F7B566}" name="TC AP NFRS" dataDxfId="1497" totalsRowDxfId="1496" dataCellStyle="Comma"/>
    <tableColumn id="24" xr3:uid="{FB0AD7C8-0557-409D-98FF-1CEB6EDBC66D}" name="Unit Sum" dataDxfId="1495" totalsRowDxfId="1494" dataCellStyle="Comma"/>
    <tableColumn id="26" xr3:uid="{8129819F-674A-40CF-9C1B-86177D40F806}" name="WACC AP NFRS" dataDxfId="1493" dataCellStyle="Comma">
      <calculatedColumnFormula>Table2428308910131415162324253233[[#This Row],[TC AP NFRS]]/Table2428308910131415162324253233[[#This Row],[Unit Sum]]</calculatedColumnFormula>
    </tableColumn>
    <tableColumn id="21" xr3:uid="{ACCDC173-C133-4E58-B339-85DDF88136DC}" name="P/L AP NFRS" totalsRowFunction="sum" dataDxfId="1492" dataCellStyle="Comm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01244AA-1086-4E0E-B56D-C6B4CB208701}" name="Table24283089101314151623242532" displayName="Table24283089101314151623242532" ref="A6:P16" headerRowDxfId="1491" dataDxfId="1489" totalsRowDxfId="1487" headerRowBorderDxfId="1490" tableBorderDxfId="1488" totalsRowBorderDxfId="1486">
  <tableColumns count="16">
    <tableColumn id="1" xr3:uid="{443233DC-D26A-49A8-A15A-52AD9F98545B}" name="S.No" totalsRowLabel="Total" dataDxfId="1485" totalsRowDxfId="1484"/>
    <tableColumn id="2" xr3:uid="{923EB302-E52A-494D-8B47-6B95914A7C0F}" name="SYMBOL" dataDxfId="1483" totalsRowDxfId="1482"/>
    <tableColumn id="12" xr3:uid="{0BE26FBF-9A5B-4A5D-9C75-7EE0148C2FFD}" name="Bill No" dataDxfId="1481" totalsRowDxfId="1480"/>
    <tableColumn id="3" xr3:uid="{3EB4BC72-DBB7-4375-BD58-64632A4F2796}" name="Txn Date" dataDxfId="1479"/>
    <tableColumn id="4" xr3:uid="{AB167F11-0858-4B11-A23A-9A94AF58AFEF}" name="Txn Type" dataDxfId="1478"/>
    <tableColumn id="5" xr3:uid="{5398AE4F-579C-4455-96F2-67C3DAAEF252}" name="Purchase QTY" dataDxfId="1477" totalsRowDxfId="1476" dataCellStyle="Comma"/>
    <tableColumn id="6" xr3:uid="{5A0FCFC2-01A1-4A49-84B1-1106FE39AB1B}" name="PPPU" dataDxfId="1475" totalsRowDxfId="1474" dataCellStyle="Comma">
      <calculatedColumnFormula>Table24283089101314151623242532[[#This Row],[Total Purchase Amount]]/Table24283089101314151623242532[[#This Row],[Purchase QTY]]</calculatedColumnFormula>
    </tableColumn>
    <tableColumn id="7" xr3:uid="{9A995B9F-5327-45BE-8164-A5D034E5B813}" name="Total Purchase Amount" dataDxfId="1473" totalsRowDxfId="1472" dataCellStyle="Comma"/>
    <tableColumn id="13" xr3:uid="{1741C69B-D008-4A49-B1D3-D5B36000EE23}" name="Sales Qty" dataDxfId="1471" totalsRowDxfId="1470" dataCellStyle="Comma"/>
    <tableColumn id="8" xr3:uid="{5284092A-84E0-4AF7-ACAF-97E6CA539F43}" name="SPPU" dataDxfId="1469" totalsRowDxfId="1468" dataCellStyle="Comma">
      <calculatedColumnFormula>Table24283089101314151623242532[[#This Row],[Sales Amt]]/Table24283089101314151623242532[[#This Row],[Sales Qty]]</calculatedColumnFormula>
    </tableColumn>
    <tableColumn id="9" xr3:uid="{E3A28CE4-251E-4BDC-B95C-E2F4104A5F46}" name="Sales Amt" dataDxfId="1467" totalsRowDxfId="1466" dataCellStyle="Comma">
      <calculatedColumnFormula>Table24283089101314151623242532[[#This Row],[Sales Qty]]*Table24283089101314151623242532[[#This Row],[SPPU]]</calculatedColumnFormula>
    </tableColumn>
    <tableColumn id="28" xr3:uid="{0E71AA07-1B37-483C-8993-F0435A672D1A}" name="Principal Cost As per  NFRS (In case of Sales)" totalsRowFunction="sum" dataDxfId="1465" totalsRowDxfId="1464" dataCellStyle="Comma"/>
    <tableColumn id="27" xr3:uid="{AEB97762-BC18-4EC5-8831-B6CEA0900B92}" name="TC AP NFRS" dataDxfId="1463" totalsRowDxfId="1462" dataCellStyle="Comma"/>
    <tableColumn id="24" xr3:uid="{B5DDAAA9-ED58-4426-B1B0-773C35C4D533}" name="Unit Sum" dataDxfId="1461" totalsRowDxfId="1460" dataCellStyle="Comma"/>
    <tableColumn id="26" xr3:uid="{4C99CE32-CEB1-4A13-8BF1-6B261224FBC4}" name="WACC AP NFRS" dataDxfId="1459" dataCellStyle="Comma">
      <calculatedColumnFormula>Table24283089101314151623242532[[#This Row],[TC AP NFRS]]/Table24283089101314151623242532[[#This Row],[Unit Sum]]</calculatedColumnFormula>
    </tableColumn>
    <tableColumn id="21" xr3:uid="{8D0E3F8C-E4F1-4DAB-A9B1-50F2149C3326}" name="P/L AP NFRS" totalsRowFunction="sum" dataDxfId="1458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E83EE7B2-564C-4D6F-9575-DF776409C356}" name="Table242830282956" displayName="Table242830282956" ref="A6:P10" headerRowDxfId="1457" dataDxfId="1455" totalsRowDxfId="1453" headerRowBorderDxfId="1456" tableBorderDxfId="1454" totalsRowBorderDxfId="1452">
  <tableColumns count="16">
    <tableColumn id="1" xr3:uid="{F0D81CE0-C61E-4410-A10B-E63B29AAF7FE}" name="S.No" totalsRowLabel="Total" dataDxfId="1451" totalsRowDxfId="1450"/>
    <tableColumn id="2" xr3:uid="{5E7E385E-5983-4FD1-A599-AB2D0B82E6C0}" name="SYMBOL" dataDxfId="1449" totalsRowDxfId="1448"/>
    <tableColumn id="12" xr3:uid="{EAE1D2E7-7A9A-4E1F-A255-DA44A40AB177}" name="Bill No" dataDxfId="1447" totalsRowDxfId="1446"/>
    <tableColumn id="3" xr3:uid="{B5FA0FBC-4B6F-4DB3-8812-AD6A4789748B}" name="Txn Date" dataDxfId="1445"/>
    <tableColumn id="4" xr3:uid="{E243CFD9-A9DD-4B4A-9879-64F77573A31F}" name="Txn Type" dataDxfId="1444"/>
    <tableColumn id="5" xr3:uid="{3A69AB37-9359-4BDA-8051-260F003B0D72}" name="Purchase QTY" dataDxfId="1443" totalsRowDxfId="1442" dataCellStyle="Comma"/>
    <tableColumn id="6" xr3:uid="{F2213B9E-2D77-4F7F-9BBC-A60C379C5BE6}" name="PPPU" dataDxfId="1441" totalsRowDxfId="1440" dataCellStyle="Comma">
      <calculatedColumnFormula>Table242830282956[[#This Row],[Total Purchase Amount]]/Table242830282956[[#This Row],[Purchase QTY]]</calculatedColumnFormula>
    </tableColumn>
    <tableColumn id="7" xr3:uid="{27321B67-8272-4D2C-81E0-223CF760C1DB}" name="Total Purchase Amount" dataDxfId="1439" totalsRowDxfId="1438" dataCellStyle="Comma"/>
    <tableColumn id="13" xr3:uid="{1A461458-FA42-41DC-A102-8C25365FDCB3}" name="Sales Qty" dataDxfId="1437" totalsRowDxfId="1436" dataCellStyle="Comma"/>
    <tableColumn id="8" xr3:uid="{99DC2B85-35B7-4BC8-B3AA-9733EBCB204E}" name="SPPU" dataDxfId="1435" totalsRowDxfId="1434" dataCellStyle="Comma"/>
    <tableColumn id="9" xr3:uid="{2CF6B22B-32BE-4CAB-A27C-421197A2DE1B}" name="Sales Amt" dataDxfId="1433" dataCellStyle="Comma">
      <calculatedColumnFormula>Table242830282956[[#This Row],[Sales Qty]]*Table242830282956[[#This Row],[SPPU]]</calculatedColumnFormula>
    </tableColumn>
    <tableColumn id="28" xr3:uid="{A671C9AA-CF4F-4DE2-BF8E-B051606CD5C4}" name="Principal Cost As per  NFRS (In case of Sales)" totalsRowFunction="sum" dataDxfId="1432" totalsRowDxfId="1431" dataCellStyle="Comma"/>
    <tableColumn id="27" xr3:uid="{028D6038-6173-4552-8636-F9EDB88A1589}" name="TC AP NFRS" dataDxfId="1430" totalsRowDxfId="1429" dataCellStyle="Comma"/>
    <tableColumn id="24" xr3:uid="{4C6FE92B-8D51-4D6E-992F-1F91A3972AA6}" name="Unit Sum" dataDxfId="1428" totalsRowDxfId="1427" dataCellStyle="Comma"/>
    <tableColumn id="26" xr3:uid="{712569BB-3917-4E5E-BECD-BAFCFA87AE5D}" name="WACC AP NFRS" dataDxfId="1426" dataCellStyle="Comma">
      <calculatedColumnFormula>Table242830282956[[#This Row],[TC AP NFRS]]/Table242830282956[[#This Row],[Unit Sum]]</calculatedColumnFormula>
    </tableColumn>
    <tableColumn id="21" xr3:uid="{DBE51FB9-BCBB-4BA5-B5FB-B7184110F882}" name="P/L AP NFRS" totalsRowFunction="sum" dataDxfId="1425" dataCellStyle="Comm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EF623CB-360A-4399-AB11-309A48A0B092}" name="Table24283028293031" displayName="Table24283028293031" ref="A6:P10" headerRowDxfId="1424" dataDxfId="1422" totalsRowDxfId="1420" headerRowBorderDxfId="1423" tableBorderDxfId="1421" totalsRowBorderDxfId="1419">
  <tableColumns count="16">
    <tableColumn id="1" xr3:uid="{8BADEA91-6695-4A20-B1C3-04A2CBC69F99}" name="S.No" totalsRowLabel="Total" dataDxfId="1418" totalsRowDxfId="1417"/>
    <tableColumn id="2" xr3:uid="{8B8332D7-7D64-4A05-A8F5-491B2B9AC7C6}" name="SYMBOL" dataDxfId="1416" totalsRowDxfId="1415"/>
    <tableColumn id="12" xr3:uid="{5B4EF477-2ACE-4E17-BBFF-8B1B3FB3F9F7}" name="Bill No" dataDxfId="1414" totalsRowDxfId="1413"/>
    <tableColumn id="3" xr3:uid="{9827D591-FFDC-4039-92FE-D58E855C7A7A}" name="Txn Date" dataDxfId="1412"/>
    <tableColumn id="4" xr3:uid="{D9CD5F41-49EC-40E7-AA86-5CF8BFD6CBA2}" name="Txn Type" dataDxfId="1411"/>
    <tableColumn id="5" xr3:uid="{85A9CD32-89E4-42C6-805F-C4B6FB6A07B1}" name="Purchase QTY" dataDxfId="1410" totalsRowDxfId="1409" dataCellStyle="Comma"/>
    <tableColumn id="6" xr3:uid="{90034C43-1419-4CB6-80B3-1892922F7B11}" name="PPPU" dataDxfId="1408" totalsRowDxfId="1407" dataCellStyle="Comma">
      <calculatedColumnFormula>Table24283028293031[[#This Row],[Total Purchase Amount]]/Table24283028293031[[#This Row],[Purchase QTY]]</calculatedColumnFormula>
    </tableColumn>
    <tableColumn id="7" xr3:uid="{B4166A48-85E9-42A6-89F2-DF73F2528255}" name="Total Purchase Amount" dataDxfId="1406" totalsRowDxfId="1405" dataCellStyle="Comma"/>
    <tableColumn id="13" xr3:uid="{94E84746-FE2C-4278-BB6A-58618870B4D3}" name="Sales Qty" dataDxfId="1404" totalsRowDxfId="1403" dataCellStyle="Comma"/>
    <tableColumn id="8" xr3:uid="{6BA9026E-10C2-4FA0-9395-CF4ABA40D94B}" name="SPPU" dataDxfId="1402" totalsRowDxfId="1401" dataCellStyle="Comma"/>
    <tableColumn id="9" xr3:uid="{E1C4207D-28D2-4B30-9FE4-35B896A46215}" name="Sales Amt" dataDxfId="1400" dataCellStyle="Comma">
      <calculatedColumnFormula>Table24283028293031[[#This Row],[Sales Qty]]*Table24283028293031[[#This Row],[SPPU]]</calculatedColumnFormula>
    </tableColumn>
    <tableColumn id="28" xr3:uid="{699F7A8F-2449-433D-AB2B-5B38CF8D9123}" name="Principal Cost As per  NFRS (In case of Sales)" totalsRowFunction="sum" dataDxfId="1399" totalsRowDxfId="1398" dataCellStyle="Comma"/>
    <tableColumn id="27" xr3:uid="{8FF60337-5F84-4E45-A381-7965C329B126}" name="TC AP NFRS" dataDxfId="1397" totalsRowDxfId="1396" dataCellStyle="Comma"/>
    <tableColumn id="24" xr3:uid="{B1264004-6FDA-4F08-B16B-66F3D269A646}" name="Unit Sum" dataDxfId="1395" totalsRowDxfId="1394" dataCellStyle="Comma"/>
    <tableColumn id="26" xr3:uid="{1E4F5FFE-5BAA-4E98-85DE-F50513CA8E01}" name="WACC AP NFRS" dataDxfId="1393" dataCellStyle="Comma">
      <calculatedColumnFormula>Table24283028293031[[#This Row],[TC AP NFRS]]/Table24283028293031[[#This Row],[Unit Sum]]</calculatedColumnFormula>
    </tableColumn>
    <tableColumn id="21" xr3:uid="{53AA2B89-CF62-4675-8E7F-474359EFD9F8}" name="P/L AP NFRS" totalsRowFunction="sum" dataDxfId="1392" dataCellStyle="Comm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B748E34-167E-4B3D-8E51-476F8D1465F3}" name="Table242830282930" displayName="Table242830282930" ref="A6:P12" headerRowDxfId="1391" dataDxfId="1389" totalsRowDxfId="1387" headerRowBorderDxfId="1390" tableBorderDxfId="1388" totalsRowBorderDxfId="1386">
  <tableColumns count="16">
    <tableColumn id="1" xr3:uid="{EA119D8C-CD6D-4E85-B203-EC163F05CB45}" name="S.No" totalsRowLabel="Total" dataDxfId="1385" totalsRowDxfId="1384"/>
    <tableColumn id="2" xr3:uid="{2D572089-C45C-43E4-9069-30473EBEE77F}" name="SYMBOL" dataDxfId="1383" totalsRowDxfId="1382"/>
    <tableColumn id="12" xr3:uid="{A21D6068-13AC-4DDB-9E10-D827628FA65A}" name="Bill No" dataDxfId="1381" totalsRowDxfId="1380"/>
    <tableColumn id="3" xr3:uid="{0B965329-8C2E-4FBC-A4BA-7AA86FF555EB}" name="Txn Date" dataDxfId="1379"/>
    <tableColumn id="4" xr3:uid="{FB2F90B1-DC6A-4E05-BBB3-95611ADF985C}" name="Txn Type" dataDxfId="1378"/>
    <tableColumn id="5" xr3:uid="{B1CF98B1-907F-4999-9664-0FF4E5FF3E29}" name="Purchase QTY" dataDxfId="1377" totalsRowDxfId="1376" dataCellStyle="Comma"/>
    <tableColumn id="6" xr3:uid="{608E764D-336F-4330-B53E-B7158476113B}" name="PPPU" dataDxfId="1375" totalsRowDxfId="1374" dataCellStyle="Comma">
      <calculatedColumnFormula>Table242830282930[[#This Row],[Total Purchase Amount]]/Table242830282930[[#This Row],[Purchase QTY]]</calculatedColumnFormula>
    </tableColumn>
    <tableColumn id="7" xr3:uid="{EB1AC9B3-4185-40AA-954C-0D26BFF3B108}" name="Total Purchase Amount" dataDxfId="1373" totalsRowDxfId="1372" dataCellStyle="Comma"/>
    <tableColumn id="13" xr3:uid="{F2211D0B-B132-40CF-B0C8-4566A1AD05D5}" name="Sales Qty" dataDxfId="1371" totalsRowDxfId="1370" dataCellStyle="Comma"/>
    <tableColumn id="8" xr3:uid="{390F9289-AD23-4BAE-8001-3F1395801CA2}" name="SPPU" dataDxfId="1369" totalsRowDxfId="1368" dataCellStyle="Comma"/>
    <tableColumn id="9" xr3:uid="{3A90EE9F-384B-4D28-BA90-5137505A3994}" name="Sales Amt" dataDxfId="1367" dataCellStyle="Comma">
      <calculatedColumnFormula>Table242830282930[[#This Row],[Sales Qty]]*Table242830282930[[#This Row],[SPPU]]</calculatedColumnFormula>
    </tableColumn>
    <tableColumn id="28" xr3:uid="{F992DBDA-9C98-4845-AB82-7ABEA47178EB}" name="Principal Cost As per  NFRS (In case of Sales)" totalsRowFunction="sum" dataDxfId="1366" totalsRowDxfId="1365" dataCellStyle="Comma"/>
    <tableColumn id="27" xr3:uid="{BA04EF45-5302-491A-A4EA-0FAE1E02E89D}" name="TC AP NFRS" dataDxfId="1364" totalsRowDxfId="1363" dataCellStyle="Comma"/>
    <tableColumn id="24" xr3:uid="{60950DEF-6FEB-442F-B164-4B6E6A8EA2B1}" name="Unit Sum" dataDxfId="1362" totalsRowDxfId="1361" dataCellStyle="Comma"/>
    <tableColumn id="26" xr3:uid="{8309136C-8A80-499D-AE3A-9783A65F522A}" name="WACC AP NFRS" dataDxfId="1360" dataCellStyle="Comma">
      <calculatedColumnFormula>Table242830282930[[#This Row],[TC AP NFRS]]/Table242830282930[[#This Row],[Unit Sum]]</calculatedColumnFormula>
    </tableColumn>
    <tableColumn id="21" xr3:uid="{C2D3C58C-6FCC-4349-9ACE-56F38B4D754C}" name="P/L AP NFRS" totalsRowFunction="sum" dataDxfId="1359" dataCellStyle="Comm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569C0C4-D7F0-4DDB-9C39-3DE5B65A3D4E}" name="Table2428302829" displayName="Table2428302829" ref="A6:P12" headerRowDxfId="1358" dataDxfId="1356" totalsRowDxfId="1354" headerRowBorderDxfId="1357" tableBorderDxfId="1355" totalsRowBorderDxfId="1353">
  <tableColumns count="16">
    <tableColumn id="1" xr3:uid="{55816F81-C22D-4470-A90C-E2162037363E}" name="S.No" totalsRowLabel="Total" dataDxfId="1352" totalsRowDxfId="1351"/>
    <tableColumn id="2" xr3:uid="{17F785D6-7985-40C7-8E85-44F0AFF39156}" name="SYMBOL" dataDxfId="1350" totalsRowDxfId="1349"/>
    <tableColumn id="12" xr3:uid="{4666E3C6-2DF5-40FB-834B-76B3D8A1A693}" name="Bill No" dataDxfId="1348" totalsRowDxfId="1347"/>
    <tableColumn id="3" xr3:uid="{7463C61F-316D-4773-8647-E33716531F91}" name="Txn Date" dataDxfId="1346"/>
    <tableColumn id="4" xr3:uid="{763737B8-7A5A-4792-ADBA-6CCA916992BE}" name="Txn Type" dataDxfId="1345"/>
    <tableColumn id="5" xr3:uid="{9B595459-D78A-498F-BB86-E6086CE07AE6}" name="Purchase QTY" dataDxfId="1344" totalsRowDxfId="1343" dataCellStyle="Comma"/>
    <tableColumn id="6" xr3:uid="{1A97E493-7799-4F14-AE37-73969F4BF98A}" name="PPPU" dataDxfId="1342" totalsRowDxfId="1341" dataCellStyle="Comma">
      <calculatedColumnFormula>Table2428302829[[#This Row],[Total Purchase Amount]]/Table2428302829[[#This Row],[Purchase QTY]]</calculatedColumnFormula>
    </tableColumn>
    <tableColumn id="7" xr3:uid="{002DA707-D12A-4E2C-86B3-E3AA098F667F}" name="Total Purchase Amount" dataDxfId="1340" totalsRowDxfId="1339" dataCellStyle="Comma"/>
    <tableColumn id="13" xr3:uid="{E99A3548-2367-4FDD-9730-750BEC9D3F27}" name="Sales Qty" dataDxfId="1338" totalsRowDxfId="1337" dataCellStyle="Comma"/>
    <tableColumn id="8" xr3:uid="{4853B98D-4FCB-46EE-8CF9-74B2ED8D0E97}" name="SPPU" dataDxfId="1336" totalsRowDxfId="1335" dataCellStyle="Comma"/>
    <tableColumn id="9" xr3:uid="{EDDD5616-DC90-413B-9F39-39AAA89A5969}" name="Sales Amt" dataDxfId="1334" dataCellStyle="Comma">
      <calculatedColumnFormula>Table2428302829[[#This Row],[Sales Qty]]*Table2428302829[[#This Row],[SPPU]]</calculatedColumnFormula>
    </tableColumn>
    <tableColumn id="28" xr3:uid="{6682C8F9-5813-478F-B95F-E9289DA2A4E3}" name="Principal Cost As per  NFRS (In case of Sales)" totalsRowFunction="sum" dataDxfId="1333" totalsRowDxfId="1332" dataCellStyle="Comma"/>
    <tableColumn id="27" xr3:uid="{5CA2B1A0-C3F7-40D5-A889-FCB552FB9155}" name="TC AP NFRS" dataDxfId="1331" totalsRowDxfId="1330" dataCellStyle="Comma"/>
    <tableColumn id="24" xr3:uid="{392A33ED-3F05-4D6D-9617-8EE574BC26B3}" name="Unit Sum" dataDxfId="1329" totalsRowDxfId="1328" dataCellStyle="Comma"/>
    <tableColumn id="26" xr3:uid="{2F15ADFB-B328-4A5A-945C-A76EAC47FFED}" name="WACC AP NFRS" dataDxfId="1327" dataCellStyle="Comma">
      <calculatedColumnFormula>Table2428302829[[#This Row],[TC AP NFRS]]/Table2428302829[[#This Row],[Unit Sum]]</calculatedColumnFormula>
    </tableColumn>
    <tableColumn id="21" xr3:uid="{A48BC891-46C4-4A65-8CF4-B21584077D2A}" name="P/L AP NFRS" totalsRowFunction="sum" dataDxfId="1326" dataCellStyle="Comm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F74B28A-7EB9-43A4-B722-AF872A5539D6}" name="Table24283028" displayName="Table24283028" ref="A6:P12" headerRowDxfId="1325" dataDxfId="1323" totalsRowDxfId="1321" headerRowBorderDxfId="1324" tableBorderDxfId="1322" totalsRowBorderDxfId="1320">
  <tableColumns count="16">
    <tableColumn id="1" xr3:uid="{FB4174B8-E04C-46FE-AA19-2DD7745EEA06}" name="S.No" totalsRowLabel="Total" dataDxfId="1319" totalsRowDxfId="1318"/>
    <tableColumn id="2" xr3:uid="{01F92BA5-D90E-4E30-BB2A-77395D808DC7}" name="SYMBOL" dataDxfId="1317" totalsRowDxfId="1316"/>
    <tableColumn id="12" xr3:uid="{66148C98-92C5-4E6C-A95F-BA426E01F362}" name="Bill No" dataDxfId="1315" totalsRowDxfId="1314"/>
    <tableColumn id="3" xr3:uid="{3270B58E-29A3-42C1-B93F-6F4FBCA27BBA}" name="Txn Date" dataDxfId="1313"/>
    <tableColumn id="4" xr3:uid="{B424683C-8034-48C3-8C83-3E63B37E3AEB}" name="Txn Type" dataDxfId="1312"/>
    <tableColumn id="5" xr3:uid="{505E089D-9E1B-42E3-9738-8EB70C224EFA}" name="Purchase QTY" dataDxfId="1311" totalsRowDxfId="1310" dataCellStyle="Comma"/>
    <tableColumn id="6" xr3:uid="{444DF334-48A9-484C-B833-A46ED87DE42B}" name="PPPU" dataDxfId="1309" totalsRowDxfId="1308" dataCellStyle="Comma">
      <calculatedColumnFormula>Table24283028[[#This Row],[Total Purchase Amount]]/Table24283028[[#This Row],[Purchase QTY]]</calculatedColumnFormula>
    </tableColumn>
    <tableColumn id="7" xr3:uid="{3174BF4A-951C-45BD-93E5-F210157AE2DD}" name="Total Purchase Amount" dataDxfId="1307" totalsRowDxfId="1306" dataCellStyle="Comma"/>
    <tableColumn id="13" xr3:uid="{BDFE39AD-4E40-45AF-ACBA-F5B777CB6204}" name="Sales Qty" dataDxfId="1305" totalsRowDxfId="1304" dataCellStyle="Comma"/>
    <tableColumn id="8" xr3:uid="{C9F1C735-4A3C-4E57-9E96-85B0F0F897AA}" name="SPPU" dataDxfId="1303" totalsRowDxfId="1302" dataCellStyle="Comma"/>
    <tableColumn id="9" xr3:uid="{CCD382A3-E555-47E7-8CAC-8F4ADDA81129}" name="Sales Amt" dataDxfId="1301" dataCellStyle="Comma">
      <calculatedColumnFormula>Table24283028[[#This Row],[Sales Qty]]*Table24283028[[#This Row],[SPPU]]</calculatedColumnFormula>
    </tableColumn>
    <tableColumn id="28" xr3:uid="{27E4ACE1-155F-4EF0-9871-923E97FFD56D}" name="Principal Cost As per  NFRS (In case of Sales)" totalsRowFunction="sum" dataDxfId="1300" totalsRowDxfId="1299" dataCellStyle="Comma"/>
    <tableColumn id="27" xr3:uid="{5B2343E3-701A-40C1-B41A-7A3B96DA421D}" name="TC AP NFRS" dataDxfId="1298" totalsRowDxfId="1297" dataCellStyle="Comma"/>
    <tableColumn id="24" xr3:uid="{0B9DA527-52CB-4DB8-9C3D-557D0C93C027}" name="Unit Sum" dataDxfId="1296" totalsRowDxfId="1295" dataCellStyle="Comma"/>
    <tableColumn id="26" xr3:uid="{8FF5A366-1172-4E85-9C2D-FA7A14F289D4}" name="WACC AP NFRS" dataDxfId="1294" dataCellStyle="Comma">
      <calculatedColumnFormula>Table24283028[[#This Row],[TC AP NFRS]]/Table24283028[[#This Row],[Unit Sum]]</calculatedColumnFormula>
    </tableColumn>
    <tableColumn id="21" xr3:uid="{2AE693EF-63C7-4371-8568-5693A28C2C81}" name="P/L AP NFRS" totalsRowFunction="sum" dataDxfId="1293" dataCellStyle="Comm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CCB3DAF-3D83-4158-8E14-C02A6C6DCE2C}" name="Table2428302227" displayName="Table2428302227" ref="A6:P11" headerRowDxfId="1292" dataDxfId="1290" totalsRowDxfId="1288" headerRowBorderDxfId="1291" tableBorderDxfId="1289" totalsRowBorderDxfId="1287">
  <tableColumns count="16">
    <tableColumn id="1" xr3:uid="{932422A9-3DE4-4ABE-A8F3-9354A7D1BB25}" name="S.No" totalsRowLabel="Total" dataDxfId="1286" totalsRowDxfId="1285"/>
    <tableColumn id="2" xr3:uid="{AAB062FB-526C-4622-9BD0-9404F558932D}" name="SYMBOL" dataDxfId="1284" totalsRowDxfId="1283"/>
    <tableColumn id="12" xr3:uid="{2833CDA1-51F2-48DD-A8C7-B814E8231D18}" name="Bill No" dataDxfId="1282" totalsRowDxfId="1281"/>
    <tableColumn id="3" xr3:uid="{596A62EB-DD1B-4B96-B856-91257796FE84}" name="Txn Date" dataDxfId="1280"/>
    <tableColumn id="4" xr3:uid="{D46E1A62-8F1C-4548-9115-014168823ABA}" name="Txn Type" dataDxfId="1279"/>
    <tableColumn id="5" xr3:uid="{1B9570E5-C633-4A50-9AE0-7098311CAA64}" name="Purchase QTY" dataDxfId="1278" totalsRowDxfId="1277" dataCellStyle="Comma"/>
    <tableColumn id="6" xr3:uid="{D845567A-FA7D-4C2B-A5FA-575BCB6FC606}" name="PPPU" dataDxfId="1276" totalsRowDxfId="1275" dataCellStyle="Comma">
      <calculatedColumnFormula>Table2428302227[[#This Row],[Total Purchase Amount]]/Table2428302227[[#This Row],[Purchase QTY]]</calculatedColumnFormula>
    </tableColumn>
    <tableColumn id="7" xr3:uid="{13DC701C-8417-44B5-9250-1DC17187F871}" name="Total Purchase Amount" dataDxfId="1274" totalsRowDxfId="1273" dataCellStyle="Comma"/>
    <tableColumn id="13" xr3:uid="{EE4FD91B-7428-4A4D-B31D-1B882C6FF914}" name="Sales Qty" dataDxfId="1272" totalsRowDxfId="1271" dataCellStyle="Comma"/>
    <tableColumn id="8" xr3:uid="{5616531F-77FE-40FE-AA6B-9AEC1F838225}" name="SPPU" dataDxfId="1270" totalsRowDxfId="1269" dataCellStyle="Comma"/>
    <tableColumn id="9" xr3:uid="{814562EE-0B10-437A-A476-E9A64677366B}" name="Sales Amt" dataDxfId="1268" dataCellStyle="Comma">
      <calculatedColumnFormula>Table2428302227[[#This Row],[Sales Qty]]*Table2428302227[[#This Row],[SPPU]]</calculatedColumnFormula>
    </tableColumn>
    <tableColumn id="28" xr3:uid="{7194AA54-9C94-4EBC-86CC-B4972C82B27A}" name="Principal Cost As per  NFRS (In case of Sales)" totalsRowFunction="sum" dataDxfId="1267" totalsRowDxfId="1266" dataCellStyle="Comma"/>
    <tableColumn id="27" xr3:uid="{A6089CD0-B787-4FF2-9F67-457B8C9D4B51}" name="TC AP NFRS" dataDxfId="1265" totalsRowDxfId="1264" dataCellStyle="Comma"/>
    <tableColumn id="24" xr3:uid="{C280B226-E69D-4DCD-8BA4-AE2F7EED01A6}" name="Unit Sum" dataDxfId="1263" totalsRowDxfId="1262" dataCellStyle="Comma"/>
    <tableColumn id="26" xr3:uid="{5D15F77C-2DE7-434B-817E-6F1ADE91AEA6}" name="WACC AP NFRS" dataDxfId="1261" dataCellStyle="Comma">
      <calculatedColumnFormula>Table2428302227[[#This Row],[TC AP NFRS]]/Table2428302227[[#This Row],[Unit Sum]]</calculatedColumnFormula>
    </tableColumn>
    <tableColumn id="21" xr3:uid="{4D06BB9C-5031-455F-A0D3-5677C3C87282}" name="P/L AP NFRS" totalsRowFunction="sum" dataDxfId="1260" dataCellStyle="Comm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446096E-4B25-48A3-9CE5-919072D35162}" name="Table242830891013141516171819" displayName="Table242830891013141516171819" ref="A6:P17" headerRowDxfId="1259" dataDxfId="1257" totalsRowDxfId="1255" headerRowBorderDxfId="1258" tableBorderDxfId="1256" totalsRowBorderDxfId="1254">
  <tableColumns count="16">
    <tableColumn id="1" xr3:uid="{F63FA36B-DD2E-4FAA-A313-92A4C256634D}" name="S.No" totalsRowLabel="Total" dataDxfId="1253" totalsRowDxfId="1252"/>
    <tableColumn id="2" xr3:uid="{64FAA9FB-6E91-4A5D-9D8E-53FC0CDAD94A}" name="SYMBOL" dataDxfId="1251" totalsRowDxfId="1250"/>
    <tableColumn id="12" xr3:uid="{03309D30-85D6-4E82-A121-1AE31AD63ECE}" name="Bill No" dataDxfId="1249" totalsRowDxfId="1248"/>
    <tableColumn id="3" xr3:uid="{7E4DD3EB-3D8D-4515-B8FB-BF2D183DE303}" name="Txn Date" dataDxfId="1247"/>
    <tableColumn id="4" xr3:uid="{2BD18010-E672-4487-81CB-93A1D3D70075}" name="Txn Type" dataDxfId="1246"/>
    <tableColumn id="5" xr3:uid="{37C73F14-29C8-4211-8CDD-D2B5E032F485}" name="Purchase QTY" dataDxfId="1245" totalsRowDxfId="1244" dataCellStyle="Comma"/>
    <tableColumn id="6" xr3:uid="{C0B395DD-D854-427C-AC09-8BF95E1CF79B}" name="PPPU" dataDxfId="1243" totalsRowDxfId="1242" dataCellStyle="Comma">
      <calculatedColumnFormula>Table242830891013141516171819[[#This Row],[Total Purchase Amount]]/Table242830891013141516171819[[#This Row],[Purchase QTY]]</calculatedColumnFormula>
    </tableColumn>
    <tableColumn id="7" xr3:uid="{6A843326-7D53-44AB-9EC1-65F717F7B880}" name="Total Purchase Amount" dataDxfId="1241" totalsRowDxfId="1240" dataCellStyle="Comma"/>
    <tableColumn id="13" xr3:uid="{EBBCCCE2-4796-4091-A9B0-C6053CE6E04E}" name="Sales Qty" dataDxfId="1239" totalsRowDxfId="1238" dataCellStyle="Comma"/>
    <tableColumn id="8" xr3:uid="{CBEE0609-AA79-4C90-9592-755EBB440AEA}" name="SPPU" dataDxfId="1237" totalsRowDxfId="1236" dataCellStyle="Comma">
      <calculatedColumnFormula>Table242830891013141516171819[[#This Row],[Sales Amt]]/Table242830891013141516171819[[#This Row],[Sales Qty]]</calculatedColumnFormula>
    </tableColumn>
    <tableColumn id="9" xr3:uid="{2BCBE43A-BAE7-4883-9E79-0E17F183F0CF}" name="Sales Amt" dataDxfId="1235" totalsRowDxfId="1234" dataCellStyle="Comma">
      <calculatedColumnFormula>Table242830891013141516171819[[#This Row],[Sales Qty]]*Table242830891013141516171819[[#This Row],[SPPU]]</calculatedColumnFormula>
    </tableColumn>
    <tableColumn id="28" xr3:uid="{34C5BE8C-836C-464A-95FA-081D65F09083}" name="Principal Cost As per  NFRS (In case of Sales)" totalsRowFunction="sum" dataDxfId="1233" totalsRowDxfId="1232" dataCellStyle="Comma"/>
    <tableColumn id="27" xr3:uid="{2A1537ED-9729-46E7-8277-6BC7A77B7C42}" name="TC AP NFRS" dataDxfId="1231" totalsRowDxfId="1230" dataCellStyle="Comma"/>
    <tableColumn id="24" xr3:uid="{C77FEEF9-5F99-45A6-A689-486B990529EE}" name="Unit Sum" dataDxfId="1229" totalsRowDxfId="1228" dataCellStyle="Comma"/>
    <tableColumn id="26" xr3:uid="{7D6323EA-F50B-4B55-96DA-96691D4BDD00}" name="WACC AP NFRS" dataDxfId="1227" dataCellStyle="Comma">
      <calculatedColumnFormula>Table242830891013141516171819[[#This Row],[TC AP NFRS]]/Table242830891013141516171819[[#This Row],[Unit Sum]]</calculatedColumnFormula>
    </tableColumn>
    <tableColumn id="21" xr3:uid="{311D7456-878B-4CA4-BD2A-437BD506B011}" name="P/L AP NFRS" totalsRowFunction="sum" dataDxfId="1226" dataCellStyle="Comm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8F4B155-F5EE-4C2C-8CA2-9E2166A968B5}" name="Table2428308910131415161718" displayName="Table2428308910131415161718" ref="A6:P17" headerRowDxfId="1225" dataDxfId="1223" totalsRowDxfId="1221" headerRowBorderDxfId="1224" tableBorderDxfId="1222" totalsRowBorderDxfId="1220">
  <tableColumns count="16">
    <tableColumn id="1" xr3:uid="{32ACC4F6-A8CC-4A45-A977-47F33F50CCF2}" name="S.No" totalsRowLabel="Total" dataDxfId="1219" totalsRowDxfId="1218"/>
    <tableColumn id="2" xr3:uid="{CFD38F4B-41DF-4821-B06F-F036F50D981B}" name="SYMBOL" dataDxfId="1217" totalsRowDxfId="1216"/>
    <tableColumn id="12" xr3:uid="{B2F92D80-071F-468F-A7DF-C4903F856C92}" name="Bill No" dataDxfId="1215" totalsRowDxfId="1214"/>
    <tableColumn id="3" xr3:uid="{5BB5E269-11FB-4A09-AA5B-CE544D4D15D2}" name="Txn Date" dataDxfId="1213"/>
    <tableColumn id="4" xr3:uid="{45C3DE5B-34F8-4A97-A2CD-E8C8E6D7A642}" name="Txn Type" dataDxfId="1212"/>
    <tableColumn id="5" xr3:uid="{1F015F91-FF3E-4B59-ACEC-8FD8846C48D6}" name="Purchase QTY" dataDxfId="1211" totalsRowDxfId="1210" dataCellStyle="Comma"/>
    <tableColumn id="6" xr3:uid="{970DED55-BEDF-4FC3-BF91-EC02F4114822}" name="PPPU" dataDxfId="1209" totalsRowDxfId="1208" dataCellStyle="Comma">
      <calculatedColumnFormula>Table2428308910131415161718[[#This Row],[Total Purchase Amount]]/Table2428308910131415161718[[#This Row],[Purchase QTY]]</calculatedColumnFormula>
    </tableColumn>
    <tableColumn id="7" xr3:uid="{E64DC788-BAF4-41B8-9607-CBB84AD6FF20}" name="Total Purchase Amount" dataDxfId="1207" totalsRowDxfId="1206" dataCellStyle="Comma"/>
    <tableColumn id="13" xr3:uid="{A1785D09-5BD6-449D-97E1-A6BCC4DA7679}" name="Sales Qty" dataDxfId="1205" totalsRowDxfId="1204" dataCellStyle="Comma"/>
    <tableColumn id="8" xr3:uid="{450DA1E7-11D8-44D0-873A-FE5E1C216FCF}" name="SPPU" dataDxfId="1203" totalsRowDxfId="1202" dataCellStyle="Comma">
      <calculatedColumnFormula>Table2428308910131415161718[[#This Row],[Sales Amt]]/Table2428308910131415161718[[#This Row],[Sales Qty]]</calculatedColumnFormula>
    </tableColumn>
    <tableColumn id="9" xr3:uid="{92F9DA5F-470E-4DE4-9F74-C9F9CAC9A0EE}" name="Sales Amt" dataDxfId="1201" totalsRowDxfId="1200" dataCellStyle="Comma">
      <calculatedColumnFormula>Table2428308910131415161718[[#This Row],[Sales Qty]]*Table2428308910131415161718[[#This Row],[SPPU]]</calculatedColumnFormula>
    </tableColumn>
    <tableColumn id="28" xr3:uid="{5C34BF8E-07AD-4E49-BFDE-8724DD586526}" name="Principal Cost As per  NFRS (In case of Sales)" totalsRowFunction="sum" dataDxfId="1199" totalsRowDxfId="1198" dataCellStyle="Comma"/>
    <tableColumn id="27" xr3:uid="{ACBA6FE1-DA4A-4B32-9CE0-B70CA7A9A25D}" name="TC AP NFRS" dataDxfId="1197" totalsRowDxfId="1196" dataCellStyle="Comma"/>
    <tableColumn id="24" xr3:uid="{BAF0A22E-18D2-4C5C-ABF2-D754337EA98D}" name="Unit Sum" dataDxfId="1195" totalsRowDxfId="1194" dataCellStyle="Comma"/>
    <tableColumn id="26" xr3:uid="{1F8BAC8E-9E19-466B-BB68-2F20EB2FFEB8}" name="WACC AP NFRS" dataDxfId="1193" dataCellStyle="Comma">
      <calculatedColumnFormula>Table2428308910131415161718[[#This Row],[TC AP NFRS]]/Table2428308910131415161718[[#This Row],[Unit Sum]]</calculatedColumnFormula>
    </tableColumn>
    <tableColumn id="21" xr3:uid="{B15A98B7-139D-4F25-B598-2D1F0A0CBEFC}" name="P/L AP NFRS" totalsRowFunction="sum" dataDxfId="1192" dataCellStyle="Comm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B45FF-A924-4947-8577-7200735BF197}" name="Table242830" displayName="Table242830" ref="A6:P14" headerRowDxfId="1191" dataDxfId="1189" totalsRowDxfId="1187" headerRowBorderDxfId="1190" tableBorderDxfId="1188" totalsRowBorderDxfId="1186">
  <tableColumns count="16">
    <tableColumn id="1" xr3:uid="{F0215B0E-435E-4750-99CB-933CAB47F326}" name="S.No" totalsRowLabel="Total" dataDxfId="1185" totalsRowDxfId="1184"/>
    <tableColumn id="2" xr3:uid="{14A246DD-83B4-4483-9098-0933A5C0CA1E}" name="SYMBOL" dataDxfId="1183" totalsRowDxfId="1182"/>
    <tableColumn id="12" xr3:uid="{82671605-2CB7-4DEA-BB3C-43C8C7035D2E}" name="Bill No" dataDxfId="1181" totalsRowDxfId="1180"/>
    <tableColumn id="3" xr3:uid="{B0C63113-9B8D-4267-8FE9-D5CDD308279A}" name="Txn Date" dataDxfId="1179"/>
    <tableColumn id="4" xr3:uid="{83BF1B8B-CC62-4D6B-84A8-1811636E51B3}" name="Txn Type" dataDxfId="1178"/>
    <tableColumn id="5" xr3:uid="{39B5F7CF-66FD-4AF0-804D-6549C89328E1}" name="Purchase QTY" dataDxfId="1177" totalsRowDxfId="1176" dataCellStyle="Comma"/>
    <tableColumn id="6" xr3:uid="{6FF60818-E463-4EE1-A686-F2F44232C46D}" name="PPPU" dataDxfId="1175" totalsRowDxfId="1174" dataCellStyle="Comma">
      <calculatedColumnFormula>Table242830[[#This Row],[Total Purchase Amount]]/Table242830[[#This Row],[Purchase QTY]]</calculatedColumnFormula>
    </tableColumn>
    <tableColumn id="7" xr3:uid="{C0326F0D-DE68-4CEB-8D46-721AC6F1D6C1}" name="Total Purchase Amount" dataDxfId="1173" totalsRowDxfId="1172" dataCellStyle="Comma"/>
    <tableColumn id="13" xr3:uid="{79D11702-82FC-4751-BE14-359AAD667631}" name="Sales Qty" dataDxfId="1171" totalsRowDxfId="1170" dataCellStyle="Comma"/>
    <tableColumn id="8" xr3:uid="{F62A619F-99D2-4F3F-B94A-F1FD8564CA85}" name="SPPU" dataDxfId="1169" totalsRowDxfId="1168" dataCellStyle="Comma"/>
    <tableColumn id="9" xr3:uid="{94C25ECE-0F4E-4993-9AE3-EFCC505B8719}" name="Sales Amt" dataDxfId="1167" dataCellStyle="Comma">
      <calculatedColumnFormula>Table242830[[#This Row],[Sales Qty]]*Table242830[[#This Row],[SPPU]]</calculatedColumnFormula>
    </tableColumn>
    <tableColumn id="28" xr3:uid="{CD540C0E-E00C-4822-9E52-537B25E7FDAA}" name="Principal Cost As per  NFRS (In case of Sales)" totalsRowFunction="sum" dataDxfId="1166" totalsRowDxfId="1165" dataCellStyle="Comma"/>
    <tableColumn id="27" xr3:uid="{A496AFC2-8F87-4A1C-9960-BA2AB3527057}" name="TC AP NFRS" dataDxfId="1164" totalsRowDxfId="1163" dataCellStyle="Comma"/>
    <tableColumn id="24" xr3:uid="{11456B0A-64D1-431D-99F5-9E443AE7DFCD}" name="Unit Sum" dataDxfId="1162" totalsRowDxfId="1161" dataCellStyle="Comma"/>
    <tableColumn id="26" xr3:uid="{BF26951E-415E-4C5A-A757-4B79CF041022}" name="WACC AP NFRS" dataDxfId="1160" dataCellStyle="Comma">
      <calculatedColumnFormula>Table242830[[#This Row],[TC AP NFRS]]/Table242830[[#This Row],[Unit Sum]]</calculatedColumnFormula>
    </tableColumn>
    <tableColumn id="21" xr3:uid="{342BCE98-E764-45CC-A089-0F3617706ACE}" name="P/L AP NFRS" totalsRowFunction="sum" dataDxfId="1159" dataCellStyle="Comm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7E71F3-F634-4F5C-B539-7FBAAB3F3632}" name="Table2428308" displayName="Table2428308" ref="A6:P10" headerRowDxfId="1158" dataDxfId="1156" totalsRowDxfId="1154" headerRowBorderDxfId="1157" tableBorderDxfId="1155" totalsRowBorderDxfId="1153">
  <tableColumns count="16">
    <tableColumn id="1" xr3:uid="{6C6F5A3B-2DCD-4B41-966D-49BF1756A51B}" name="S.No" totalsRowLabel="Total" dataDxfId="1152" totalsRowDxfId="1151"/>
    <tableColumn id="2" xr3:uid="{2848C5A7-EA35-4FD4-8E94-D48A604A941E}" name="SYMBOL" dataDxfId="1150" totalsRowDxfId="1149"/>
    <tableColumn id="12" xr3:uid="{BF50F61B-19E0-4C1B-8CA1-7C1D0CC76B6C}" name="Bill No" dataDxfId="1148" totalsRowDxfId="1147"/>
    <tableColumn id="3" xr3:uid="{A044166E-9572-4356-83CA-97BA1DE6FB31}" name="Txn Date" dataDxfId="1146"/>
    <tableColumn id="4" xr3:uid="{0B0366BD-FECC-4ECD-B965-AB351623B5A1}" name="Txn Type" dataDxfId="1145"/>
    <tableColumn id="5" xr3:uid="{2CC08785-663A-468D-8702-D8C7AF5F674E}" name="Purchase QTY" dataDxfId="1144" totalsRowDxfId="1143" dataCellStyle="Comma"/>
    <tableColumn id="6" xr3:uid="{72108061-FFD4-45CC-93CA-A9130299AFA8}" name="PPPU" dataDxfId="1142" totalsRowDxfId="1141" dataCellStyle="Comma">
      <calculatedColumnFormula>Table2428308[[#This Row],[Total Purchase Amount]]/Table2428308[[#This Row],[Purchase QTY]]</calculatedColumnFormula>
    </tableColumn>
    <tableColumn id="7" xr3:uid="{781CE007-F032-4B08-9558-B738652EC292}" name="Total Purchase Amount" dataDxfId="1140" totalsRowDxfId="1139" dataCellStyle="Comma"/>
    <tableColumn id="13" xr3:uid="{2535516D-75CB-4470-8981-3F317F97671B}" name="Sales Qty" dataDxfId="1138" totalsRowDxfId="1137" dataCellStyle="Comma"/>
    <tableColumn id="8" xr3:uid="{B86A57B2-EE35-4015-A9F0-8D8A1547B587}" name="SPPU" dataDxfId="1136" totalsRowDxfId="1135" dataCellStyle="Comma">
      <calculatedColumnFormula>Table2428308[[#This Row],[Sales Amt]]/Table2428308[[#This Row],[Sales Qty]]</calculatedColumnFormula>
    </tableColumn>
    <tableColumn id="9" xr3:uid="{6FD35F3B-71E5-4F91-8CAC-C945D74375A6}" name="Sales Amt" dataDxfId="1134" totalsRowDxfId="1133" dataCellStyle="Comma">
      <calculatedColumnFormula>Table2428308[[#This Row],[Sales Qty]]*Table2428308[[#This Row],[SPPU]]</calculatedColumnFormula>
    </tableColumn>
    <tableColumn id="28" xr3:uid="{2E8D61FB-CE8D-44ED-BC78-367A6107FB53}" name="Principal Cost As per  NFRS (In case of Sales)" totalsRowFunction="sum" dataDxfId="1132" totalsRowDxfId="1131" dataCellStyle="Comma"/>
    <tableColumn id="27" xr3:uid="{B9265D0A-1D02-4AE3-97A6-8115E051C841}" name="TC AP NFRS" dataDxfId="1130" totalsRowDxfId="1129" dataCellStyle="Comma"/>
    <tableColumn id="24" xr3:uid="{41DF9B42-15F3-42AC-8B56-01F257B6018E}" name="Unit Sum" dataDxfId="1128" totalsRowDxfId="1127" dataCellStyle="Comma"/>
    <tableColumn id="26" xr3:uid="{86F5BABC-A71A-4E41-9CFC-02727ED3BDE1}" name="WACC AP NFRS" dataDxfId="1126" dataCellStyle="Comma">
      <calculatedColumnFormula>Table2428308[[#This Row],[TC AP NFRS]]/Table2428308[[#This Row],[Unit Sum]]</calculatedColumnFormula>
    </tableColumn>
    <tableColumn id="21" xr3:uid="{1B62EF47-A5D6-4D27-908C-8A5C260F433D}" name="P/L AP NFRS" totalsRowFunction="sum" dataDxfId="1125" dataCellStyle="Comm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06A25FE-8B15-44A2-8B00-075DF8DD934A}" name="Table24283089" displayName="Table24283089" ref="A6:P10" headerRowDxfId="1124" dataDxfId="1122" totalsRowDxfId="1120" headerRowBorderDxfId="1123" tableBorderDxfId="1121" totalsRowBorderDxfId="1119">
  <tableColumns count="16">
    <tableColumn id="1" xr3:uid="{916E4C9B-9EDB-4C9C-991C-344A9808252E}" name="S.No" totalsRowLabel="Total" dataDxfId="1118" totalsRowDxfId="1117"/>
    <tableColumn id="2" xr3:uid="{D371C050-09C6-459A-ADF7-C8EA075D8676}" name="SYMBOL" dataDxfId="1116" totalsRowDxfId="1115"/>
    <tableColumn id="12" xr3:uid="{15D3A381-2B77-4E93-88A0-C9E8AE1C3B01}" name="Bill No" dataDxfId="1114" totalsRowDxfId="1113"/>
    <tableColumn id="3" xr3:uid="{FE59736B-F799-4A0C-BFB1-C1D4507463A7}" name="Txn Date" dataDxfId="1112"/>
    <tableColumn id="4" xr3:uid="{73E4CF1A-10B7-4877-B0AF-CAC805CDAD31}" name="Txn Type" dataDxfId="1111"/>
    <tableColumn id="5" xr3:uid="{934A7CF9-545E-42DE-8B87-5E44B661CE9B}" name="Purchase QTY" dataDxfId="1110" totalsRowDxfId="1109" dataCellStyle="Comma"/>
    <tableColumn id="6" xr3:uid="{D211FC71-D82E-4A5F-93BE-545DFEBE0D76}" name="PPPU" dataDxfId="1108" totalsRowDxfId="1107" dataCellStyle="Comma">
      <calculatedColumnFormula>Table24283089[[#This Row],[Total Purchase Amount]]/Table24283089[[#This Row],[Purchase QTY]]</calculatedColumnFormula>
    </tableColumn>
    <tableColumn id="7" xr3:uid="{0C168438-6480-469A-AD08-BDC63333A6FA}" name="Total Purchase Amount" dataDxfId="1106" totalsRowDxfId="1105" dataCellStyle="Comma"/>
    <tableColumn id="13" xr3:uid="{4CEA46FE-41C1-4E34-9683-201325CE1275}" name="Sales Qty" dataDxfId="1104" totalsRowDxfId="1103" dataCellStyle="Comma"/>
    <tableColumn id="8" xr3:uid="{757D34BB-8868-4272-BE6F-26E07A988E2B}" name="SPPU" dataDxfId="1102" totalsRowDxfId="1101" dataCellStyle="Comma">
      <calculatedColumnFormula>Table24283089[[#This Row],[Sales Amt]]/Table24283089[[#This Row],[Sales Qty]]</calculatedColumnFormula>
    </tableColumn>
    <tableColumn id="9" xr3:uid="{816C922F-717F-4064-83B0-F90DB2A6344F}" name="Sales Amt" dataDxfId="1100" totalsRowDxfId="1099" dataCellStyle="Comma">
      <calculatedColumnFormula>Table24283089[[#This Row],[Sales Qty]]*Table24283089[[#This Row],[SPPU]]</calculatedColumnFormula>
    </tableColumn>
    <tableColumn id="28" xr3:uid="{09B9E143-8B38-4D5C-A6F8-BA8D4F3D6A5B}" name="Principal Cost As per  NFRS (In case of Sales)" totalsRowFunction="sum" dataDxfId="1098" totalsRowDxfId="1097" dataCellStyle="Comma"/>
    <tableColumn id="27" xr3:uid="{ECD7B9CA-5D58-4C89-B8B5-69529C72DA2B}" name="TC AP NFRS" dataDxfId="1096" totalsRowDxfId="1095" dataCellStyle="Comma"/>
    <tableColumn id="24" xr3:uid="{5E7BB1CE-FFB2-420E-902E-D65A5F1FEE8F}" name="Unit Sum" dataDxfId="1094" totalsRowDxfId="1093" dataCellStyle="Comma"/>
    <tableColumn id="26" xr3:uid="{45988967-F349-4036-A041-D9CFC3BF0AED}" name="WACC AP NFRS" dataDxfId="1092" dataCellStyle="Comma">
      <calculatedColumnFormula>Table24283089[[#This Row],[TC AP NFRS]]/Table24283089[[#This Row],[Unit Sum]]</calculatedColumnFormula>
    </tableColumn>
    <tableColumn id="21" xr3:uid="{69B74EDA-33C4-4814-A821-B4347B999999}" name="P/L AP NFRS" totalsRowFunction="sum" dataDxfId="1091" dataCellStyle="Comm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9029216-C700-4C50-BB9D-E4FAD4CCAD1A}" name="Table2428308910" displayName="Table2428308910" ref="A6:P18" headerRowDxfId="1090" dataDxfId="1088" totalsRowDxfId="1086" headerRowBorderDxfId="1089" tableBorderDxfId="1087" totalsRowBorderDxfId="1085">
  <tableColumns count="16">
    <tableColumn id="1" xr3:uid="{C39BD589-6DEB-499B-812E-0E6A653CC524}" name="S.No" totalsRowLabel="Total" dataDxfId="1084" totalsRowDxfId="1083"/>
    <tableColumn id="2" xr3:uid="{C84855A3-7E91-44E5-8FA2-918A0909FE3B}" name="SYMBOL" dataDxfId="1082" totalsRowDxfId="1081"/>
    <tableColumn id="12" xr3:uid="{41F7609F-DCE0-464C-BE38-AEEA98162A68}" name="Bill No" dataDxfId="1080" totalsRowDxfId="1079"/>
    <tableColumn id="3" xr3:uid="{D204CAEE-26BC-48D2-B91C-2B86E0DA18F6}" name="Txn Date" dataDxfId="1078"/>
    <tableColumn id="4" xr3:uid="{08DEB876-11EA-4585-A828-E8B696825F4B}" name="Txn Type" dataDxfId="1077"/>
    <tableColumn id="5" xr3:uid="{1E5A1EFD-D485-4233-BCD3-B2EF9708E68A}" name="Purchase QTY" dataDxfId="1076" totalsRowDxfId="1075" dataCellStyle="Comma"/>
    <tableColumn id="6" xr3:uid="{69770A8A-C01A-404E-9CBF-B7561F328682}" name="PPPU" dataDxfId="1074" totalsRowDxfId="1073" dataCellStyle="Comma">
      <calculatedColumnFormula>Table2428308910[[#This Row],[Total Purchase Amount]]/Table2428308910[[#This Row],[Purchase QTY]]</calculatedColumnFormula>
    </tableColumn>
    <tableColumn id="7" xr3:uid="{1B30583E-A21C-4FCD-B726-79D8D1F04956}" name="Total Purchase Amount" dataDxfId="1072" totalsRowDxfId="1071" dataCellStyle="Comma"/>
    <tableColumn id="13" xr3:uid="{9447BF2F-07B6-428E-91D2-85BAC54EC9C6}" name="Sales Qty" dataDxfId="1070" totalsRowDxfId="1069" dataCellStyle="Comma"/>
    <tableColumn id="8" xr3:uid="{F59FE838-EA16-42FB-A65E-2C83646A1047}" name="SPPU" dataDxfId="1068" totalsRowDxfId="1067" dataCellStyle="Comma">
      <calculatedColumnFormula>Table2428308910[[#This Row],[Sales Amt]]/Table2428308910[[#This Row],[Sales Qty]]</calculatedColumnFormula>
    </tableColumn>
    <tableColumn id="9" xr3:uid="{65D189D4-520F-4467-9CE5-47D2DD1C60CE}" name="Sales Amt" dataDxfId="1066" totalsRowDxfId="1065" dataCellStyle="Comma">
      <calculatedColumnFormula>Table2428308910[[#This Row],[Sales Qty]]*Table2428308910[[#This Row],[SPPU]]</calculatedColumnFormula>
    </tableColumn>
    <tableColumn id="28" xr3:uid="{45AF2856-2FBC-468E-BFC9-DD1A125EBED8}" name="Principal Cost As per  NFRS (In case of Sales)" totalsRowFunction="sum" dataDxfId="1064" totalsRowDxfId="1063" dataCellStyle="Comma"/>
    <tableColumn id="27" xr3:uid="{F7A66FDC-8FBC-445F-B8AC-979E05920082}" name="TC AP NFRS" dataDxfId="1062" totalsRowDxfId="1061" dataCellStyle="Comma"/>
    <tableColumn id="24" xr3:uid="{F1B379F9-69EA-4BA8-8A90-32EC5F73AFD9}" name="Unit Sum" dataDxfId="1060" totalsRowDxfId="1059" dataCellStyle="Comma"/>
    <tableColumn id="26" xr3:uid="{2816DE9D-7DCB-4C9C-ABB8-CED26E142AF3}" name="WACC AP NFRS" dataDxfId="1058" dataCellStyle="Comma">
      <calculatedColumnFormula>Table2428308910[[#This Row],[TC AP NFRS]]/Table2428308910[[#This Row],[Unit Sum]]</calculatedColumnFormula>
    </tableColumn>
    <tableColumn id="21" xr3:uid="{AA099DE7-6276-4DF1-9DFB-0908EF74E2E2}" name="P/L AP NFRS" totalsRowFunction="sum" dataDxfId="1057" dataCellStyle="Comma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0685E0-A0BA-4440-AC7A-A093BDC1CD3A}" name="Table24283089107" displayName="Table24283089107" ref="A6:P10" headerRowDxfId="1056" dataDxfId="1054" totalsRowDxfId="1052" headerRowBorderDxfId="1055" tableBorderDxfId="1053" totalsRowBorderDxfId="1051">
  <tableColumns count="16">
    <tableColumn id="1" xr3:uid="{1E65606F-085F-4800-832D-FBED139D5F1D}" name="S.No" totalsRowLabel="Total" dataDxfId="1050" totalsRowDxfId="1049"/>
    <tableColumn id="2" xr3:uid="{C8726F9E-E042-4590-8598-09F5831394FB}" name="SYMBOL" dataDxfId="1048" totalsRowDxfId="1047"/>
    <tableColumn id="12" xr3:uid="{B563EFF3-5A25-4B43-9B61-370871C406D5}" name="Bill No" dataDxfId="1046" totalsRowDxfId="1045"/>
    <tableColumn id="3" xr3:uid="{B632AE83-8936-461E-AC7B-AAE3D60F10AA}" name="Txn Date" dataDxfId="1044"/>
    <tableColumn id="4" xr3:uid="{8B937B97-78E2-43B4-B702-624209333B72}" name="Txn Type" dataDxfId="1043"/>
    <tableColumn id="5" xr3:uid="{4E43E601-3342-4B70-BB91-CE2E95C333C0}" name="Purchase QTY" dataDxfId="1042" totalsRowDxfId="1041" dataCellStyle="Comma"/>
    <tableColumn id="6" xr3:uid="{E2FC9873-CEBD-41FA-80A5-303912B5A23A}" name="PPPU" dataDxfId="1040" totalsRowDxfId="1039" dataCellStyle="Comma">
      <calculatedColumnFormula>Table24283089107[[#This Row],[Total Purchase Amount]]/Table24283089107[[#This Row],[Purchase QTY]]</calculatedColumnFormula>
    </tableColumn>
    <tableColumn id="7" xr3:uid="{C339DF3F-7C88-4832-9C95-A4FC6193D0EB}" name="Total Purchase Amount" dataDxfId="1038" totalsRowDxfId="1037" dataCellStyle="Comma"/>
    <tableColumn id="13" xr3:uid="{B8C893B6-E84E-4DF6-9A43-4C427C55BD90}" name="Sales Qty" dataDxfId="1036" totalsRowDxfId="1035" dataCellStyle="Comma"/>
    <tableColumn id="8" xr3:uid="{509BAE3F-A05B-4776-9041-43BA22C5AA27}" name="SPPU" dataDxfId="1034" totalsRowDxfId="1033" dataCellStyle="Comma">
      <calculatedColumnFormula>Table24283089107[[#This Row],[Sales Amt]]/Table24283089107[[#This Row],[Sales Qty]]</calculatedColumnFormula>
    </tableColumn>
    <tableColumn id="9" xr3:uid="{7FC5438B-4E01-4F6B-936F-67F6917F08C4}" name="Sales Amt" dataDxfId="1032" totalsRowDxfId="1031" dataCellStyle="Comma">
      <calculatedColumnFormula>Table24283089107[[#This Row],[Sales Qty]]*Table24283089107[[#This Row],[SPPU]]</calculatedColumnFormula>
    </tableColumn>
    <tableColumn id="28" xr3:uid="{939D4B75-D9F4-4D6B-A925-71A730D59DC2}" name="Principal Cost As per  NFRS (In case of Sales)" totalsRowFunction="sum" dataDxfId="1030" totalsRowDxfId="1029" dataCellStyle="Comma"/>
    <tableColumn id="27" xr3:uid="{A6178753-F8AB-4B1F-98B0-1346EB9F392E}" name="TC AP NFRS" dataDxfId="1028" totalsRowDxfId="1027" dataCellStyle="Comma"/>
    <tableColumn id="24" xr3:uid="{C7D0F1F2-06BF-4EB9-9C9F-78B3CFAA32A8}" name="Unit Sum" dataDxfId="1026" totalsRowDxfId="1025" dataCellStyle="Comma"/>
    <tableColumn id="26" xr3:uid="{639D4510-BC40-48E6-913F-741BB9E637D6}" name="WACC AP NFRS" dataDxfId="1024" dataCellStyle="Comma">
      <calculatedColumnFormula>Table24283089107[[#This Row],[TC AP NFRS]]/Table24283089107[[#This Row],[Unit Sum]]</calculatedColumnFormula>
    </tableColumn>
    <tableColumn id="21" xr3:uid="{DAECE641-EFAB-469A-BFC4-C778BB62B207}" name="P/L AP NFRS" totalsRowFunction="sum" dataDxfId="1023" dataCellStyle="Comm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8CEC8A7-45B2-4257-926B-E5072D573B14}" name="Table2428308910711" displayName="Table2428308910711" ref="A6:P9" headerRowDxfId="1022" dataDxfId="1020" totalsRowDxfId="1018" headerRowBorderDxfId="1021" tableBorderDxfId="1019" totalsRowBorderDxfId="1017">
  <tableColumns count="16">
    <tableColumn id="1" xr3:uid="{838014A7-63D9-4771-AE78-7FA931DEF1CD}" name="S.No" totalsRowLabel="Total" dataDxfId="1016" totalsRowDxfId="1015"/>
    <tableColumn id="2" xr3:uid="{08B36D95-AB24-48A8-BD8C-805CFA3DD6FC}" name="SYMBOL" dataDxfId="1014" totalsRowDxfId="1013"/>
    <tableColumn id="12" xr3:uid="{1B8C9717-16C7-42BF-90D4-4D5F8A1777E6}" name="Bill No" dataDxfId="1012" totalsRowDxfId="1011"/>
    <tableColumn id="3" xr3:uid="{FB2B86C7-5BA8-4B1D-8875-073EEF62BFE2}" name="Txn Date" dataDxfId="1010"/>
    <tableColumn id="4" xr3:uid="{7B07C434-8429-4182-903E-82F39934FCD9}" name="Txn Type" dataDxfId="1009"/>
    <tableColumn id="5" xr3:uid="{AAEADFBE-A0A5-433E-B7EA-2A7F6924C38C}" name="Purchase QTY" dataDxfId="1008" totalsRowDxfId="1007" dataCellStyle="Comma"/>
    <tableColumn id="6" xr3:uid="{BB63A790-2959-418E-ACF3-2B74106C900C}" name="PPPU" dataDxfId="1006" totalsRowDxfId="1005" dataCellStyle="Comma">
      <calculatedColumnFormula>Table2428308910711[[#This Row],[Total Purchase Amount]]/Table2428308910711[[#This Row],[Purchase QTY]]</calculatedColumnFormula>
    </tableColumn>
    <tableColumn id="7" xr3:uid="{D4820F88-60DA-48E2-99E6-B85748E98ECD}" name="Total Purchase Amount" dataDxfId="1004" totalsRowDxfId="1003" dataCellStyle="Comma"/>
    <tableColumn id="13" xr3:uid="{F8A3A373-F0CD-468D-B93B-C6370E636272}" name="Sales Qty" dataDxfId="1002" totalsRowDxfId="1001" dataCellStyle="Comma"/>
    <tableColumn id="8" xr3:uid="{DF099FDB-BBBD-4014-8112-6E49C582D242}" name="SPPU" dataDxfId="1000" totalsRowDxfId="999" dataCellStyle="Comma">
      <calculatedColumnFormula>Table2428308910711[[#This Row],[Sales Amt]]/Table2428308910711[[#This Row],[Sales Qty]]</calculatedColumnFormula>
    </tableColumn>
    <tableColumn id="9" xr3:uid="{557C977F-8234-49B2-A73E-1519E1071BC0}" name="Sales Amt" dataDxfId="998" totalsRowDxfId="997" dataCellStyle="Comma">
      <calculatedColumnFormula>Table2428308910711[[#This Row],[Sales Qty]]*Table2428308910711[[#This Row],[SPPU]]</calculatedColumnFormula>
    </tableColumn>
    <tableColumn id="28" xr3:uid="{EAC21AE2-0D9B-441D-92C0-FD4AF0F40FF2}" name="Principal Cost As per  NFRS (In case of Sales)" totalsRowFunction="sum" dataDxfId="996" totalsRowDxfId="995" dataCellStyle="Comma"/>
    <tableColumn id="27" xr3:uid="{29DDBC06-0E8E-46A0-B91E-61FAB5161E03}" name="TC AP NFRS" dataDxfId="994" totalsRowDxfId="993" dataCellStyle="Comma"/>
    <tableColumn id="24" xr3:uid="{BDD7CDAF-F02E-482E-9B25-0F6DDCD45FAC}" name="Unit Sum" dataDxfId="992" totalsRowDxfId="991" dataCellStyle="Comma"/>
    <tableColumn id="26" xr3:uid="{5DD38141-457D-47C0-8C8D-F9BB409410E4}" name="WACC AP NFRS" dataDxfId="990" dataCellStyle="Comma">
      <calculatedColumnFormula>Table2428308910711[[#This Row],[TC AP NFRS]]/Table2428308910711[[#This Row],[Unit Sum]]</calculatedColumnFormula>
    </tableColumn>
    <tableColumn id="21" xr3:uid="{088BE642-AA5F-4831-8111-973E24ACE73B}" name="P/L AP NFRS" totalsRowFunction="sum" dataDxfId="989" dataCellStyle="Comma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85A74A17-585F-45AE-B8FD-ACA02C82A4D3}" name="Table242830891071155" displayName="Table242830891071155" ref="A13:P15" headerRowDxfId="988" dataDxfId="986" totalsRowDxfId="984" headerRowBorderDxfId="987" tableBorderDxfId="985" totalsRowBorderDxfId="983">
  <tableColumns count="16">
    <tableColumn id="1" xr3:uid="{DB6DAAAA-36A3-41DC-8303-F91B71635D74}" name="S.No" totalsRowLabel="Total" dataDxfId="982" totalsRowDxfId="981"/>
    <tableColumn id="2" xr3:uid="{629409E1-0328-4760-B7D7-60869D5D6CD8}" name="SYMBOL" dataDxfId="980" totalsRowDxfId="979"/>
    <tableColumn id="12" xr3:uid="{453B518E-814E-46AB-BDAF-750AF1229326}" name="Bill No" dataDxfId="978" totalsRowDxfId="977"/>
    <tableColumn id="3" xr3:uid="{79C9F62C-FF6D-4CE5-8D68-78D1F0DCCD66}" name="Txn Date" dataDxfId="976"/>
    <tableColumn id="4" xr3:uid="{B182A9C5-11C7-4A31-8D9A-36082C374103}" name="Txn Type" dataDxfId="975"/>
    <tableColumn id="5" xr3:uid="{1527BF75-2B4A-4B58-8C90-9E0669B3163D}" name="Purchase QTY" dataDxfId="974" totalsRowDxfId="973" dataCellStyle="Comma"/>
    <tableColumn id="6" xr3:uid="{835DC032-1914-49DB-BAAC-E5E5C0506E68}" name="PPPU" dataDxfId="972" totalsRowDxfId="971" dataCellStyle="Comma">
      <calculatedColumnFormula>Table242830891071155[[#This Row],[Total Purchase Amount]]/Table242830891071155[[#This Row],[Purchase QTY]]</calculatedColumnFormula>
    </tableColumn>
    <tableColumn id="7" xr3:uid="{28A6F927-8738-4D09-AAD8-09145D079AC1}" name="Total Purchase Amount" dataDxfId="970" totalsRowDxfId="969" dataCellStyle="Comma"/>
    <tableColumn id="13" xr3:uid="{691B6B36-C6AB-456E-ABD7-464501604522}" name="Sales Qty" dataDxfId="968" totalsRowDxfId="967" dataCellStyle="Comma"/>
    <tableColumn id="8" xr3:uid="{B785C849-3751-4E64-846D-DB298DC994D0}" name="SPPU" dataDxfId="966" totalsRowDxfId="965" dataCellStyle="Comma">
      <calculatedColumnFormula>Table242830891071155[[#This Row],[Sales Amt]]/Table242830891071155[[#This Row],[Sales Qty]]</calculatedColumnFormula>
    </tableColumn>
    <tableColumn id="9" xr3:uid="{0DD6627E-D852-4F4A-822E-711E44209019}" name="Sales Amt" dataDxfId="964" totalsRowDxfId="963" dataCellStyle="Comma">
      <calculatedColumnFormula>Table242830891071155[[#This Row],[Sales Qty]]*Table242830891071155[[#This Row],[SPPU]]</calculatedColumnFormula>
    </tableColumn>
    <tableColumn id="28" xr3:uid="{668800C5-385C-4FE3-8699-57974DC77781}" name="Principal Cost As per  NFRS (In case of Sales)" totalsRowFunction="sum" dataDxfId="962" totalsRowDxfId="961" dataCellStyle="Comma"/>
    <tableColumn id="27" xr3:uid="{8B763C38-DE5C-49ED-B8C7-D7B63D5BA599}" name="TC AP NFRS (Closing)" dataDxfId="960" totalsRowDxfId="959" dataCellStyle="Comma"/>
    <tableColumn id="24" xr3:uid="{B4F155CB-4823-4791-BBF8-FC2DF9D799B9}" name="Unit Sum" dataDxfId="958" totalsRowDxfId="957" dataCellStyle="Comma"/>
    <tableColumn id="26" xr3:uid="{3C0AC9BE-55C1-4B22-868C-C603A7820A86}" name="WACC AP NFRS" dataDxfId="956" dataCellStyle="Comma">
      <calculatedColumnFormula>IFERROR(Table242830891071155[[#This Row],[TC AP NFRS (Closing)]]/Table242830891071155[[#This Row],[Unit Sum]],0)</calculatedColumnFormula>
    </tableColumn>
    <tableColumn id="21" xr3:uid="{8833EB3B-B911-4205-8FF5-2F45D3AA9428}" name="P/L AP NFRS" totalsRowFunction="sum" dataDxfId="955" dataCellStyle="Comma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9ECF3E8-E57F-4057-BC4C-6C4499457A39}" name="Table242830891013" displayName="Table242830891013" ref="A6:P12" headerRowDxfId="954" dataDxfId="952" totalsRowDxfId="950" headerRowBorderDxfId="953" tableBorderDxfId="951" totalsRowBorderDxfId="949">
  <tableColumns count="16">
    <tableColumn id="1" xr3:uid="{0D675DC6-A38B-4D08-9F8F-BF4E4B64499E}" name="S.No" totalsRowLabel="Total" dataDxfId="948" totalsRowDxfId="947"/>
    <tableColumn id="2" xr3:uid="{A3BE43C3-EB4E-441A-A4D4-7A3A4AAC7ACA}" name="SYMBOL" dataDxfId="946" totalsRowDxfId="945"/>
    <tableColumn id="12" xr3:uid="{3C3590EE-E4DE-41F7-A843-77710A77C96C}" name="Bill No" dataDxfId="944" totalsRowDxfId="943"/>
    <tableColumn id="3" xr3:uid="{3A009132-C05F-4FDE-B2BE-19C2BD0B8EB5}" name="Txn Date" dataDxfId="942"/>
    <tableColumn id="4" xr3:uid="{F93910AE-B04D-4D98-8E04-BFFF8073903E}" name="Txn Type" dataDxfId="941"/>
    <tableColumn id="5" xr3:uid="{A3826D47-27F9-4FBC-A86B-D40557E7AA35}" name="Purchase QTY" dataDxfId="940" totalsRowDxfId="939" dataCellStyle="Comma"/>
    <tableColumn id="6" xr3:uid="{49F0C18C-5C71-4977-B1D3-76C572ACCE30}" name="PPPU" dataDxfId="938" totalsRowDxfId="937" dataCellStyle="Comma">
      <calculatedColumnFormula>Table242830891013[[#This Row],[Total Purchase Amount]]/Table242830891013[[#This Row],[Purchase QTY]]</calculatedColumnFormula>
    </tableColumn>
    <tableColumn id="7" xr3:uid="{64E0903D-0663-4CB5-AB99-9CFC788E0584}" name="Total Purchase Amount" dataDxfId="936" totalsRowDxfId="935" dataCellStyle="Comma"/>
    <tableColumn id="13" xr3:uid="{F6F1D5DC-8218-4F10-99D1-E6353AFA3895}" name="Sales Qty" dataDxfId="934" totalsRowDxfId="933" dataCellStyle="Comma"/>
    <tableColumn id="8" xr3:uid="{CAC878A5-DD51-41D0-82FC-8A998D9155C2}" name="SPPU" dataDxfId="932" totalsRowDxfId="931" dataCellStyle="Comma">
      <calculatedColumnFormula>Table242830891013[[#This Row],[Sales Amt]]/Table242830891013[[#This Row],[Sales Qty]]</calculatedColumnFormula>
    </tableColumn>
    <tableColumn id="9" xr3:uid="{3E3CC084-65EF-4839-B15E-2E466F92ED63}" name="Sales Amt" dataDxfId="930" totalsRowDxfId="929" dataCellStyle="Comma">
      <calculatedColumnFormula>Table242830891013[[#This Row],[Sales Qty]]*Table242830891013[[#This Row],[SPPU]]</calculatedColumnFormula>
    </tableColumn>
    <tableColumn id="28" xr3:uid="{B85FBD3A-D65E-4148-9876-C2273B125FD6}" name="Principal Cost As per  NFRS (In case of Sales)" totalsRowFunction="sum" dataDxfId="928" totalsRowDxfId="927" dataCellStyle="Comma"/>
    <tableColumn id="27" xr3:uid="{AC16D8E8-7678-4DDE-87E5-117C924D0D2C}" name="TC AP NFRS" dataDxfId="926" totalsRowDxfId="925" dataCellStyle="Comma"/>
    <tableColumn id="24" xr3:uid="{BE3CF83C-5410-4F41-8350-1F879B278E45}" name="Unit Sum" dataDxfId="924" totalsRowDxfId="923" dataCellStyle="Comma"/>
    <tableColumn id="26" xr3:uid="{10537811-BA56-4E96-93FC-C052746175C4}" name="WACC AP NFRS" dataDxfId="922" dataCellStyle="Comma">
      <calculatedColumnFormula>Table242830891013[[#This Row],[TC AP NFRS]]/Table242830891013[[#This Row],[Unit Sum]]</calculatedColumnFormula>
    </tableColumn>
    <tableColumn id="21" xr3:uid="{D2B2B696-3BF0-460F-9996-3D741AC70304}" name="P/L AP NFRS" totalsRowFunction="sum" dataDxfId="921" dataCellStyle="Comm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A0487BF-A820-4497-BACC-695E02F4C737}" name="Table24283089101314" displayName="Table24283089101314" ref="A6:P17" headerRowDxfId="920" dataDxfId="918" totalsRowDxfId="916" headerRowBorderDxfId="919" tableBorderDxfId="917" totalsRowBorderDxfId="915">
  <tableColumns count="16">
    <tableColumn id="1" xr3:uid="{D77A5289-CD59-43DD-97F0-B9587D124647}" name="S.No" totalsRowLabel="Total" dataDxfId="914" totalsRowDxfId="913"/>
    <tableColumn id="2" xr3:uid="{F4D5F0E3-7E08-4B74-88EA-1ABD004C037E}" name="SYMBOL" dataDxfId="912" totalsRowDxfId="911"/>
    <tableColumn id="12" xr3:uid="{DBD8E02E-47C9-4D5F-A2E7-746C1522064B}" name="Bill No" dataDxfId="910" totalsRowDxfId="909"/>
    <tableColumn id="3" xr3:uid="{5E76B04E-9F6F-4A2A-AFBB-54829F32CFF9}" name="Txn Date" dataDxfId="908"/>
    <tableColumn id="4" xr3:uid="{EDD27E1F-E855-49AC-8359-F05859D78ABC}" name="Txn Type" dataDxfId="907"/>
    <tableColumn id="5" xr3:uid="{9EC27709-A624-4B4B-821D-A44870E09250}" name="Purchase QTY" dataDxfId="906" totalsRowDxfId="905" dataCellStyle="Comma"/>
    <tableColumn id="6" xr3:uid="{3514DE83-B133-4BAA-AB0A-FF8E3132184B}" name="PPPU" dataDxfId="904" totalsRowDxfId="903" dataCellStyle="Comma">
      <calculatedColumnFormula>Table24283089101314[[#This Row],[Total Purchase Amount]]/Table24283089101314[[#This Row],[Purchase QTY]]</calculatedColumnFormula>
    </tableColumn>
    <tableColumn id="7" xr3:uid="{F46F1621-FEF3-44C6-A977-7B7339732547}" name="Total Purchase Amount" dataDxfId="902" totalsRowDxfId="901" dataCellStyle="Comma"/>
    <tableColumn id="13" xr3:uid="{70B05E4A-8F62-4EE3-B005-00C61DC516C3}" name="Sales Qty" dataDxfId="900" totalsRowDxfId="899" dataCellStyle="Comma"/>
    <tableColumn id="8" xr3:uid="{4A959D55-2EE4-4DEF-84C1-C4260A30BDCF}" name="SPPU" dataDxfId="898" totalsRowDxfId="897" dataCellStyle="Comma">
      <calculatedColumnFormula>Table24283089101314[[#This Row],[Sales Amt]]/Table24283089101314[[#This Row],[Sales Qty]]</calculatedColumnFormula>
    </tableColumn>
    <tableColumn id="9" xr3:uid="{775D1ED6-CDE3-4BA5-84D5-CB375422BE3B}" name="Sales Amt" dataDxfId="896" totalsRowDxfId="895" dataCellStyle="Comma">
      <calculatedColumnFormula>Table24283089101314[[#This Row],[Sales Qty]]*Table24283089101314[[#This Row],[SPPU]]</calculatedColumnFormula>
    </tableColumn>
    <tableColumn id="28" xr3:uid="{D07D8F24-0D33-4528-B52C-287A4C3DAEBC}" name="Principal Cost As per  NFRS (In case of Sales)" totalsRowFunction="sum" dataDxfId="894" totalsRowDxfId="893" dataCellStyle="Comma"/>
    <tableColumn id="27" xr3:uid="{75D1C33C-26AA-470B-B8A6-07C3CB5F5315}" name="TC AP NFRS" dataDxfId="892" totalsRowDxfId="891" dataCellStyle="Comma"/>
    <tableColumn id="24" xr3:uid="{0B70D397-F33A-42B9-8824-A074241252C0}" name="Unit Sum" dataDxfId="890" totalsRowDxfId="889" dataCellStyle="Comma"/>
    <tableColumn id="26" xr3:uid="{C54A7D1A-D704-4C6F-BBDC-05DBBCD5D102}" name="WACC AP NFRS" dataDxfId="888" dataCellStyle="Comma">
      <calculatedColumnFormula>Table24283089101314[[#This Row],[TC AP NFRS]]/Table24283089101314[[#This Row],[Unit Sum]]</calculatedColumnFormula>
    </tableColumn>
    <tableColumn id="21" xr3:uid="{A2AFC47E-C44B-427C-A2BC-31DA2032156F}" name="P/L AP NFRS" totalsRowFunction="sum" dataDxfId="887" dataCellStyle="Comma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E483D2-144F-4670-AC1E-0BD77D13D498}" name="Table2428308910131415" displayName="Table2428308910131415" ref="A6:P17" headerRowDxfId="886" dataDxfId="884" totalsRowDxfId="882" headerRowBorderDxfId="885" tableBorderDxfId="883" totalsRowBorderDxfId="881">
  <tableColumns count="16">
    <tableColumn id="1" xr3:uid="{B08D3A5A-91F3-4F1A-A846-C9AAEA3E81F9}" name="S.No" totalsRowLabel="Total" dataDxfId="880" totalsRowDxfId="879"/>
    <tableColumn id="2" xr3:uid="{5085EA63-460D-4519-85E5-B71C18C974A0}" name="SYMBOL" dataDxfId="878" totalsRowDxfId="877"/>
    <tableColumn id="12" xr3:uid="{63439607-DAA4-4CFF-8F93-9C4D1C5495F7}" name="Bill No" dataDxfId="876" totalsRowDxfId="875"/>
    <tableColumn id="3" xr3:uid="{8FC6235C-8558-4202-AAD4-81FC68D42B52}" name="Txn Date" dataDxfId="874"/>
    <tableColumn id="4" xr3:uid="{FD4B1417-59ED-4C6E-AD0B-D5C6C7FD3DE0}" name="Txn Type" dataDxfId="873"/>
    <tableColumn id="5" xr3:uid="{34207523-AD16-443E-82C2-62BB69299608}" name="Purchase QTY" dataDxfId="872" totalsRowDxfId="871" dataCellStyle="Comma"/>
    <tableColumn id="6" xr3:uid="{BAA9B64D-AB8C-47EB-ABE7-0ABBA13C9195}" name="PPPU" dataDxfId="870" totalsRowDxfId="869" dataCellStyle="Comma">
      <calculatedColumnFormula>Table2428308910131415[[#This Row],[Total Purchase Amount]]/Table2428308910131415[[#This Row],[Purchase QTY]]</calculatedColumnFormula>
    </tableColumn>
    <tableColumn id="7" xr3:uid="{8C1FAA5B-B011-43E4-9D4C-3C5AC654DA3C}" name="Total Purchase Amount" dataDxfId="868" totalsRowDxfId="867" dataCellStyle="Comma"/>
    <tableColumn id="13" xr3:uid="{1AC1F54C-798E-412E-9CF6-9DB42A40773D}" name="Sales Qty" dataDxfId="866" totalsRowDxfId="865" dataCellStyle="Comma"/>
    <tableColumn id="8" xr3:uid="{CD326CA8-3A9F-44F2-A1CA-B0CBE82E8147}" name="SPPU" dataDxfId="864" totalsRowDxfId="863" dataCellStyle="Comma">
      <calculatedColumnFormula>Table2428308910131415[[#This Row],[Sales Amt]]/Table2428308910131415[[#This Row],[Sales Qty]]</calculatedColumnFormula>
    </tableColumn>
    <tableColumn id="9" xr3:uid="{113EAF34-10C9-4B33-840E-A1AA06CF1A78}" name="Sales Amt" dataDxfId="862" totalsRowDxfId="861" dataCellStyle="Comma">
      <calculatedColumnFormula>Table2428308910131415[[#This Row],[Sales Qty]]*Table2428308910131415[[#This Row],[SPPU]]</calculatedColumnFormula>
    </tableColumn>
    <tableColumn id="28" xr3:uid="{8E90D79A-FD2C-494A-9DA1-2128030E2438}" name="Principal Cost As per  NFRS (In case of Sales)" totalsRowFunction="sum" dataDxfId="860" totalsRowDxfId="859" dataCellStyle="Comma"/>
    <tableColumn id="27" xr3:uid="{68583FE3-28FD-4D54-946E-551243B69199}" name="TC AP NFRS" dataDxfId="858" totalsRowDxfId="857" dataCellStyle="Comma"/>
    <tableColumn id="24" xr3:uid="{3BCB2B66-A19A-4012-A074-600944E874F7}" name="Unit Sum" dataDxfId="856" totalsRowDxfId="855" dataCellStyle="Comma"/>
    <tableColumn id="26" xr3:uid="{44F77E94-560F-4F4D-A7D7-486182522759}" name="WACC AP NFRS" dataDxfId="854" dataCellStyle="Comma">
      <calculatedColumnFormula>Table2428308910131415[[#This Row],[TC AP NFRS]]/Table2428308910131415[[#This Row],[Unit Sum]]</calculatedColumnFormula>
    </tableColumn>
    <tableColumn id="21" xr3:uid="{69F30908-A6DA-43D0-B4D6-DF43B32B8EE9}" name="P/L AP NFRS" totalsRowFunction="sum" dataDxfId="853" dataCellStyle="Comma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5A28C4-CC0C-4A8D-8A5A-6741CB586613}" name="Table242830891013141516" displayName="Table242830891013141516" ref="A6:P17" headerRowDxfId="852" dataDxfId="850" totalsRowDxfId="848" headerRowBorderDxfId="851" tableBorderDxfId="849" totalsRowBorderDxfId="847">
  <tableColumns count="16">
    <tableColumn id="1" xr3:uid="{F23A7FFB-E8DD-4011-9DEE-1F9FAB023A4A}" name="S.No" totalsRowLabel="Total" dataDxfId="846" totalsRowDxfId="845"/>
    <tableColumn id="2" xr3:uid="{E584BB75-C22C-4536-B8E3-6DD0567C8B17}" name="SYMBOL" dataDxfId="844" totalsRowDxfId="843"/>
    <tableColumn id="12" xr3:uid="{CBD807FC-9446-4E05-BB9E-B2F0BBC53EF2}" name="Bill No" dataDxfId="842" totalsRowDxfId="841"/>
    <tableColumn id="3" xr3:uid="{88DE153F-34B6-4959-A957-D3DB21EDE90F}" name="Txn Date" dataDxfId="840"/>
    <tableColumn id="4" xr3:uid="{189BCB21-3649-4E95-B59A-4F9CF2016CFF}" name="Txn Type" dataDxfId="839"/>
    <tableColumn id="5" xr3:uid="{90C5A6D4-6AE7-48FA-AECE-8043E05D43D8}" name="Purchase QTY" dataDxfId="838" totalsRowDxfId="837" dataCellStyle="Comma"/>
    <tableColumn id="6" xr3:uid="{A524063B-0146-471A-B8AE-AF30E2F06ED9}" name="PPPU" dataDxfId="836" totalsRowDxfId="835" dataCellStyle="Comma">
      <calculatedColumnFormula>Table242830891013141516[[#This Row],[Total Purchase Amount]]/Table242830891013141516[[#This Row],[Purchase QTY]]</calculatedColumnFormula>
    </tableColumn>
    <tableColumn id="7" xr3:uid="{CBD93038-3B01-4766-A0B8-301696BA28E3}" name="Total Purchase Amount" dataDxfId="834" totalsRowDxfId="833" dataCellStyle="Comma"/>
    <tableColumn id="13" xr3:uid="{6BE659D5-4AC2-467F-8000-3A6EFA23E41E}" name="Sales Qty" dataDxfId="832" totalsRowDxfId="831" dataCellStyle="Comma"/>
    <tableColumn id="8" xr3:uid="{E4EFFE15-19CB-4D76-AA6E-3CCC700FE407}" name="SPPU" dataDxfId="830" totalsRowDxfId="829" dataCellStyle="Comma">
      <calculatedColumnFormula>Table242830891013141516[[#This Row],[Sales Amt]]/Table242830891013141516[[#This Row],[Sales Qty]]</calculatedColumnFormula>
    </tableColumn>
    <tableColumn id="9" xr3:uid="{3FA081FC-3035-4F6C-9DAA-6C27A0CE3660}" name="Sales Amt" dataDxfId="828" totalsRowDxfId="827" dataCellStyle="Comma">
      <calculatedColumnFormula>Table242830891013141516[[#This Row],[Sales Qty]]*Table242830891013141516[[#This Row],[SPPU]]</calculatedColumnFormula>
    </tableColumn>
    <tableColumn id="28" xr3:uid="{2EA79BDB-D027-44F4-971E-CC719AF07EBE}" name="Principal Cost As per  NFRS (In case of Sales)" totalsRowFunction="sum" dataDxfId="826" totalsRowDxfId="825" dataCellStyle="Comma"/>
    <tableColumn id="27" xr3:uid="{8F4485FB-404E-4CD0-A607-1DB9856699C2}" name="TC AP NFRS" dataDxfId="824" totalsRowDxfId="823" dataCellStyle="Comma"/>
    <tableColumn id="24" xr3:uid="{70E9374A-342A-4E37-8615-1E1851F7A717}" name="Unit Sum" dataDxfId="822" totalsRowDxfId="821" dataCellStyle="Comma"/>
    <tableColumn id="26" xr3:uid="{C84843E0-0F35-463C-A52C-05DE40CEC538}" name="WACC AP NFRS" dataDxfId="820" dataCellStyle="Comma">
      <calculatedColumnFormula>Table242830891013141516[[#This Row],[TC AP NFRS]]/Table242830891013141516[[#This Row],[Unit Sum]]</calculatedColumnFormula>
    </tableColumn>
    <tableColumn id="21" xr3:uid="{FDB84FD5-3142-4A91-869B-5BBE66370E55}" name="P/L AP NFRS" totalsRowFunction="sum" dataDxfId="819" dataCellStyle="Comma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43D472D-D478-49DC-8ADF-5F873E4BF62D}" name="Table24283089101314151617" displayName="Table24283089101314151617" ref="A6:P17" headerRowDxfId="818" dataDxfId="816" totalsRowDxfId="814" headerRowBorderDxfId="817" tableBorderDxfId="815" totalsRowBorderDxfId="813">
  <tableColumns count="16">
    <tableColumn id="1" xr3:uid="{53E7A161-40DF-42D9-B359-D7510D757487}" name="S.No" totalsRowLabel="Total" dataDxfId="812" totalsRowDxfId="811"/>
    <tableColumn id="2" xr3:uid="{019C3C30-4C69-4D2D-8AE0-77516EF3F653}" name="SYMBOL" dataDxfId="810" totalsRowDxfId="809"/>
    <tableColumn id="12" xr3:uid="{A92E97B1-63BB-4E0C-A573-BDA0A28A2291}" name="Bill No" dataDxfId="808" totalsRowDxfId="807"/>
    <tableColumn id="3" xr3:uid="{317C4F00-97FA-4BF2-B23B-8ABF4EFAF9B1}" name="Txn Date" dataDxfId="806"/>
    <tableColumn id="4" xr3:uid="{25A88FF9-4505-4305-A09A-FAA8674B6FF2}" name="Txn Type" dataDxfId="805"/>
    <tableColumn id="5" xr3:uid="{EEA23BA1-3E3E-4DBC-9425-1763F69F3278}" name="Purchase QTY" dataDxfId="804" totalsRowDxfId="803" dataCellStyle="Comma"/>
    <tableColumn id="6" xr3:uid="{5D041056-55CF-49AE-8EDD-B998BB1C621F}" name="PPPU" dataDxfId="802" totalsRowDxfId="801" dataCellStyle="Comma">
      <calculatedColumnFormula>Table24283089101314151617[[#This Row],[Total Purchase Amount]]/Table24283089101314151617[[#This Row],[Purchase QTY]]</calculatedColumnFormula>
    </tableColumn>
    <tableColumn id="7" xr3:uid="{366F8795-82D5-4B5E-A271-D0314F7C0DB9}" name="Total Purchase Amount" dataDxfId="800" totalsRowDxfId="799" dataCellStyle="Comma"/>
    <tableColumn id="13" xr3:uid="{6CBA19C5-700A-4592-A52E-4F76755222C2}" name="Sales Qty" dataDxfId="798" totalsRowDxfId="797" dataCellStyle="Comma"/>
    <tableColumn id="8" xr3:uid="{02D6ECA9-AD43-451A-A1C8-D8ED116DCFC6}" name="SPPU" dataDxfId="796" totalsRowDxfId="795" dataCellStyle="Comma">
      <calculatedColumnFormula>Table24283089101314151617[[#This Row],[Sales Amt]]/Table24283089101314151617[[#This Row],[Sales Qty]]</calculatedColumnFormula>
    </tableColumn>
    <tableColumn id="9" xr3:uid="{5E5FF197-69F7-4C20-A652-648D058A5920}" name="Sales Amt" dataDxfId="794" totalsRowDxfId="793" dataCellStyle="Comma">
      <calculatedColumnFormula>Table24283089101314151617[[#This Row],[Sales Qty]]*Table24283089101314151617[[#This Row],[SPPU]]</calculatedColumnFormula>
    </tableColumn>
    <tableColumn id="28" xr3:uid="{281D4C35-7A95-411C-90AB-393F0C0A5381}" name="Principal Cost As per  NFRS (In case of Sales)" totalsRowFunction="sum" dataDxfId="792" totalsRowDxfId="791" dataCellStyle="Comma"/>
    <tableColumn id="27" xr3:uid="{2A9DAC38-7E4D-489E-8627-38F6DB29DA88}" name="TC AP NFRS" dataDxfId="790" totalsRowDxfId="789" dataCellStyle="Comma"/>
    <tableColumn id="24" xr3:uid="{D546FD97-2FFC-4F7C-9E57-82EBA703F4FA}" name="Unit Sum" dataDxfId="788" totalsRowDxfId="787" dataCellStyle="Comma"/>
    <tableColumn id="26" xr3:uid="{6F81C083-ABB8-4E6D-A42D-70F1B567671F}" name="WACC AP NFRS" dataDxfId="786" dataCellStyle="Comma">
      <calculatedColumnFormula>Table24283089101314151617[[#This Row],[TC AP NFRS]]/Table24283089101314151617[[#This Row],[Unit Sum]]</calculatedColumnFormula>
    </tableColumn>
    <tableColumn id="21" xr3:uid="{5833B5B3-1F7B-4FED-8B12-C5905AFB131C}" name="P/L AP NFRS" totalsRowFunction="sum" dataDxfId="785" dataCellStyle="Comm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447C402-A787-4AE4-9A8B-D2999C199EAF}" name="Table24283089101314151617181920" displayName="Table24283089101314151617181920" ref="A6:P10" headerRowDxfId="784" dataDxfId="782" totalsRowDxfId="780" headerRowBorderDxfId="783" tableBorderDxfId="781" totalsRowBorderDxfId="779">
  <tableColumns count="16">
    <tableColumn id="1" xr3:uid="{07389FB0-B215-4C9B-80F9-5CDFBD0329A7}" name="S.No" totalsRowLabel="Total" dataDxfId="778" totalsRowDxfId="777"/>
    <tableColumn id="2" xr3:uid="{9622699C-631B-411A-94D8-E6DF16CE0BFB}" name="SYMBOL" dataDxfId="776" totalsRowDxfId="775"/>
    <tableColumn id="12" xr3:uid="{827337FB-5ECA-4A14-8572-E8ACAF00E492}" name="Bill No" dataDxfId="774" totalsRowDxfId="773"/>
    <tableColumn id="3" xr3:uid="{E0EE5C74-9506-4515-82FC-1AA83ACECEBD}" name="Txn Date" dataDxfId="772"/>
    <tableColumn id="4" xr3:uid="{721E707E-7020-4CA5-ADDB-4D01BA1C0510}" name="Txn Type" dataDxfId="771"/>
    <tableColumn id="5" xr3:uid="{D0D3DF31-4BDF-480A-94D2-53A65F3FFC1B}" name="Purchase QTY" dataDxfId="770" totalsRowDxfId="769" dataCellStyle="Comma"/>
    <tableColumn id="6" xr3:uid="{0F74BB01-2ED7-4A79-80BB-18A284A3BCE6}" name="PPPU" dataDxfId="768" totalsRowDxfId="767" dataCellStyle="Comma">
      <calculatedColumnFormula>Table24283089101314151617181920[[#This Row],[Total Purchase Amount]]/Table24283089101314151617181920[[#This Row],[Purchase QTY]]</calculatedColumnFormula>
    </tableColumn>
    <tableColumn id="7" xr3:uid="{1BF37D07-4695-4009-94E2-4E5F68115FE0}" name="Total Purchase Amount" dataDxfId="766" totalsRowDxfId="765" dataCellStyle="Comma"/>
    <tableColumn id="13" xr3:uid="{5D99F159-972A-4056-8150-4EDBEA998347}" name="Sales Qty" dataDxfId="764" totalsRowDxfId="763" dataCellStyle="Comma"/>
    <tableColumn id="8" xr3:uid="{0E03E177-9E15-45A7-A469-50B2960449FE}" name="SPPU" dataDxfId="762" totalsRowDxfId="761" dataCellStyle="Comma">
      <calculatedColumnFormula>Table24283089101314151617181920[[#This Row],[Sales Amt]]/Table24283089101314151617181920[[#This Row],[Sales Qty]]</calculatedColumnFormula>
    </tableColumn>
    <tableColumn id="9" xr3:uid="{1CEFF955-71C2-4AC3-A8A2-EFF15C6F526B}" name="Sales Amt" dataDxfId="760" totalsRowDxfId="759" dataCellStyle="Comma">
      <calculatedColumnFormula>Table24283089101314151617181920[[#This Row],[Sales Qty]]*Table24283089101314151617181920[[#This Row],[SPPU]]</calculatedColumnFormula>
    </tableColumn>
    <tableColumn id="28" xr3:uid="{4CD52C44-C166-454F-BB38-780286959745}" name="Principal Cost As per  NFRS (In case of Sales)" totalsRowFunction="sum" dataDxfId="758" totalsRowDxfId="757" dataCellStyle="Comma"/>
    <tableColumn id="27" xr3:uid="{F2D5B8DC-2531-4193-99C2-5F605760957C}" name="TC AP NFRS" dataDxfId="756" totalsRowDxfId="755" dataCellStyle="Comma"/>
    <tableColumn id="24" xr3:uid="{A3E6EDD5-BBE2-4C55-9B83-0159AEE0A573}" name="Unit Sum" dataDxfId="754" totalsRowDxfId="753" dataCellStyle="Comma"/>
    <tableColumn id="26" xr3:uid="{8B2108E4-9641-4A73-A15B-F72CF24EC69E}" name="WACC AP NFRS" dataDxfId="752" dataCellStyle="Comma">
      <calculatedColumnFormula>Table24283089101314151617181920[[#This Row],[TC AP NFRS]]/Table24283089101314151617181920[[#This Row],[Unit Sum]]</calculatedColumnFormula>
    </tableColumn>
    <tableColumn id="21" xr3:uid="{BDA71C71-3000-4B3B-8587-4DF949F00AF8}" name="P/L AP NFRS" totalsRowFunction="sum" dataDxfId="751" dataCellStyle="Comma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EC3E5F0-B6B7-485E-B99F-33CD0F69D7E5}" name="Table2428308910131415161718192021" displayName="Table2428308910131415161718192021" ref="A6:P10" headerRowDxfId="750" dataDxfId="748" totalsRowDxfId="746" headerRowBorderDxfId="749" tableBorderDxfId="747" totalsRowBorderDxfId="745">
  <tableColumns count="16">
    <tableColumn id="1" xr3:uid="{EC009E60-8962-43DD-8782-1159A15E2A87}" name="S.No" totalsRowLabel="Total" dataDxfId="744" totalsRowDxfId="743"/>
    <tableColumn id="2" xr3:uid="{1629BF0A-3348-4B12-BA70-3E19E4AEC23D}" name="SYMBOL" dataDxfId="742" totalsRowDxfId="741"/>
    <tableColumn id="12" xr3:uid="{8C6AB100-ECC5-4179-9CB0-9D760EDCC677}" name="Bill No" dataDxfId="740" totalsRowDxfId="739"/>
    <tableColumn id="3" xr3:uid="{5F30025E-9FBA-4424-9746-5ED70A2E5B8D}" name="Txn Date" dataDxfId="738"/>
    <tableColumn id="4" xr3:uid="{75074E02-3071-488D-A482-85CF69498195}" name="Txn Type" dataDxfId="737"/>
    <tableColumn id="5" xr3:uid="{19D82035-AEFE-4769-B895-BD405CEE15C5}" name="Purchase QTY" dataDxfId="736" totalsRowDxfId="735" dataCellStyle="Comma"/>
    <tableColumn id="6" xr3:uid="{ADB3D44F-5062-4292-9B23-C05A97FBE129}" name="PPPU" dataDxfId="734" totalsRowDxfId="733" dataCellStyle="Comma">
      <calculatedColumnFormula>Table2428308910131415161718192021[[#This Row],[Total Purchase Amount]]/Table2428308910131415161718192021[[#This Row],[Purchase QTY]]</calculatedColumnFormula>
    </tableColumn>
    <tableColumn id="7" xr3:uid="{A946F0C6-8AC7-41A1-9475-0140F740FDF7}" name="Total Purchase Amount" dataDxfId="732" totalsRowDxfId="731" dataCellStyle="Comma"/>
    <tableColumn id="13" xr3:uid="{CBA62058-8A5F-49E8-8294-F37DD2F1F636}" name="Sales Qty" dataDxfId="730" totalsRowDxfId="729" dataCellStyle="Comma"/>
    <tableColumn id="8" xr3:uid="{AEF63549-39ED-4100-BC86-50F66738C07B}" name="SPPU" dataDxfId="728" totalsRowDxfId="727" dataCellStyle="Comma">
      <calculatedColumnFormula>Table2428308910131415161718192021[[#This Row],[Sales Amt]]/Table2428308910131415161718192021[[#This Row],[Sales Qty]]</calculatedColumnFormula>
    </tableColumn>
    <tableColumn id="9" xr3:uid="{17393462-2E55-4C16-A436-5E771D0BDC59}" name="Sales Amt" dataDxfId="726" totalsRowDxfId="725" dataCellStyle="Comma">
      <calculatedColumnFormula>Table2428308910131415161718192021[[#This Row],[Sales Qty]]*Table2428308910131415161718192021[[#This Row],[SPPU]]</calculatedColumnFormula>
    </tableColumn>
    <tableColumn id="28" xr3:uid="{4FB48F05-CB19-45E9-9B5D-CBD2732B7BB4}" name="Principal Cost As per  NFRS (In case of Sales)" totalsRowFunction="sum" dataDxfId="724" totalsRowDxfId="723" dataCellStyle="Comma"/>
    <tableColumn id="27" xr3:uid="{0E67E26C-7DB3-4366-B3B3-122F580149A9}" name="TC AP NFRS" dataDxfId="722" totalsRowDxfId="721" dataCellStyle="Comma"/>
    <tableColumn id="24" xr3:uid="{AF6EB9B5-3E5C-4907-8B92-4D6EC4D46B02}" name="Unit Sum" dataDxfId="720" totalsRowDxfId="719" dataCellStyle="Comma"/>
    <tableColumn id="26" xr3:uid="{F50D83DE-41F0-4E8E-97C9-4A7E7744736C}" name="WACC AP NFRS" dataDxfId="718" dataCellStyle="Comma">
      <calculatedColumnFormula>Table2428308910131415161718192021[[#This Row],[TC AP NFRS]]/Table2428308910131415161718192021[[#This Row],[Unit Sum]]</calculatedColumnFormula>
    </tableColumn>
    <tableColumn id="21" xr3:uid="{AEF5C5A6-8254-4156-A7C7-60268704920C}" name="P/L AP NFRS" totalsRowFunction="sum" dataDxfId="717" dataCellStyle="Comm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BEEE494-EC8E-4BC3-B352-3E3CAACC2236}" name="Table24283022" displayName="Table24283022" ref="A6:P10" headerRowDxfId="716" dataDxfId="714" totalsRowDxfId="712" headerRowBorderDxfId="715" tableBorderDxfId="713" totalsRowBorderDxfId="711">
  <tableColumns count="16">
    <tableColumn id="1" xr3:uid="{FA426B99-24A5-42B6-A74C-3612EFE06219}" name="S.No" totalsRowLabel="Total" dataDxfId="710" totalsRowDxfId="709"/>
    <tableColumn id="2" xr3:uid="{B505A409-483D-48AE-9619-50160B23E316}" name="SYMBOL" dataDxfId="708" totalsRowDxfId="707"/>
    <tableColumn id="12" xr3:uid="{096CD29B-7F8B-41E4-BEB2-21F405A39E6B}" name="Bill No" dataDxfId="706" totalsRowDxfId="705"/>
    <tableColumn id="3" xr3:uid="{61CAC26E-9073-48C0-A760-ED7C9AC2BD9A}" name="Txn Date" dataDxfId="704"/>
    <tableColumn id="4" xr3:uid="{F8126712-5ABC-434E-9CFF-1F6B87FC5472}" name="Txn Type" dataDxfId="703"/>
    <tableColumn id="5" xr3:uid="{DECE4447-034F-45A1-8AF0-456E554BCE24}" name="Purchase QTY" dataDxfId="702" totalsRowDxfId="701" dataCellStyle="Comma"/>
    <tableColumn id="6" xr3:uid="{6DEC889C-5FA0-4F5E-B7CA-26E757F7BD93}" name="PPPU" dataDxfId="700" totalsRowDxfId="699" dataCellStyle="Comma">
      <calculatedColumnFormula>Table24283022[[#This Row],[Total Purchase Amount]]/Table24283022[[#This Row],[Purchase QTY]]</calculatedColumnFormula>
    </tableColumn>
    <tableColumn id="7" xr3:uid="{803AA206-3E76-4B17-81A6-EFACF590880B}" name="Total Purchase Amount" dataDxfId="698" totalsRowDxfId="697" dataCellStyle="Comma"/>
    <tableColumn id="13" xr3:uid="{FF7815A0-E121-4723-8917-1C60A5C46BCB}" name="Sales Qty" dataDxfId="696" totalsRowDxfId="695" dataCellStyle="Comma"/>
    <tableColumn id="8" xr3:uid="{E7012ECB-399E-40AF-9F5B-6568E08D8C80}" name="SPPU" dataDxfId="694" totalsRowDxfId="693" dataCellStyle="Comma"/>
    <tableColumn id="9" xr3:uid="{C5E3915A-8552-4B28-950C-7CBCBA776C33}" name="Sales Amt" dataDxfId="692" dataCellStyle="Comma">
      <calculatedColumnFormula>Table24283022[[#This Row],[Sales Qty]]*Table24283022[[#This Row],[SPPU]]</calculatedColumnFormula>
    </tableColumn>
    <tableColumn id="28" xr3:uid="{3B6B2B5C-59CF-4F51-8AA3-4AAE135DD390}" name="Principal Cost As per  NFRS (In case of Sales)" totalsRowFunction="sum" dataDxfId="691" totalsRowDxfId="690" dataCellStyle="Comma"/>
    <tableColumn id="27" xr3:uid="{EDC54025-F29A-47EE-B995-B82D32B1DD46}" name="TC AP NFRS" dataDxfId="689" totalsRowDxfId="688" dataCellStyle="Comma"/>
    <tableColumn id="24" xr3:uid="{C25EA2E4-90E1-44F5-890B-DF5D07308B58}" name="Unit Sum" dataDxfId="687" totalsRowDxfId="686" dataCellStyle="Comma"/>
    <tableColumn id="26" xr3:uid="{0F5CB2AF-CEA7-43BF-B210-13ECB07F4DD8}" name="WACC AP NFRS" dataDxfId="685" dataCellStyle="Comma">
      <calculatedColumnFormula>Table24283022[[#This Row],[TC AP NFRS]]/Table24283022[[#This Row],[Unit Sum]]</calculatedColumnFormula>
    </tableColumn>
    <tableColumn id="21" xr3:uid="{9579EF43-C8BC-4C9C-925B-C89A11606AAF}" name="P/L AP NFRS" totalsRowFunction="sum" dataDxfId="684" dataCellStyle="Comma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723DEC9C-CDB8-487F-A82A-0A2D281BE7FB}" name="Table2428308910131415161718123942434445464748495051525354" displayName="Table2428308910131415161718123942434445464748495051525354" ref="A6:P17" headerRowDxfId="683" dataDxfId="681" totalsRowDxfId="679" headerRowBorderDxfId="682" tableBorderDxfId="680" totalsRowBorderDxfId="678">
  <tableColumns count="16">
    <tableColumn id="1" xr3:uid="{6EBCFAE6-9DC6-48D9-9C95-4D7F0D2BA12F}" name="S.No" totalsRowLabel="Total" dataDxfId="677" totalsRowDxfId="676"/>
    <tableColumn id="2" xr3:uid="{1F29E4C6-D410-429D-8D2D-32740EC3DADF}" name="SYMBOL" dataDxfId="675" totalsRowDxfId="674"/>
    <tableColumn id="12" xr3:uid="{905FD6DE-54DE-4246-AF90-2BBEB8109F97}" name="Bill No" dataDxfId="673" totalsRowDxfId="672"/>
    <tableColumn id="3" xr3:uid="{BC9BBA97-C1BD-462D-BC77-18BCE296DD5D}" name="Txn Date" dataDxfId="671"/>
    <tableColumn id="4" xr3:uid="{933E129F-ED5B-42FE-A605-E6F938267856}" name="Txn Type" dataDxfId="670"/>
    <tableColumn id="5" xr3:uid="{9094AD5F-2E42-42F2-B91F-C29FD0CE6059}" name="Purchase QTY" dataDxfId="669" totalsRowDxfId="668" dataCellStyle="Comma"/>
    <tableColumn id="6" xr3:uid="{56BB2E63-EA50-44EC-A0EF-23B2E689A41B}" name="PPPU" dataDxfId="667" totalsRowDxfId="666" dataCellStyle="Comma">
      <calculatedColumnFormula>Table2428308910131415161718123942434445464748495051525354[[#This Row],[Total Purchase Amount]]/Table2428308910131415161718123942434445464748495051525354[[#This Row],[Purchase QTY]]</calculatedColumnFormula>
    </tableColumn>
    <tableColumn id="7" xr3:uid="{1DCB80FE-0CEE-42E8-8DBD-A387314177D6}" name="Total Purchase Amount" dataDxfId="665" totalsRowDxfId="664" dataCellStyle="Comma"/>
    <tableColumn id="13" xr3:uid="{6EC622DF-67F9-4952-BADD-D8C80A36656F}" name="Sales Qty" dataDxfId="663" totalsRowDxfId="662" dataCellStyle="Comma"/>
    <tableColumn id="8" xr3:uid="{C3568A4E-07FD-404C-B49D-2C3D58722F5E}" name="SPPU" dataDxfId="661" totalsRowDxfId="660" dataCellStyle="Comma">
      <calculatedColumnFormula>Table2428308910131415161718123942434445464748495051525354[[#This Row],[Sales Amt]]/Table2428308910131415161718123942434445464748495051525354[[#This Row],[Sales Qty]]</calculatedColumnFormula>
    </tableColumn>
    <tableColumn id="9" xr3:uid="{B9FA2E6E-AA77-4BB3-83EF-D8ADCAD3A004}" name="Sales Amt" dataDxfId="659" totalsRowDxfId="658" dataCellStyle="Comma">
      <calculatedColumnFormula>Table2428308910131415161718123942434445464748495051525354[[#This Row],[Sales Qty]]*Table2428308910131415161718123942434445464748495051525354[[#This Row],[SPPU]]</calculatedColumnFormula>
    </tableColumn>
    <tableColumn id="28" xr3:uid="{C3F60B50-C793-40A0-8A92-D931C7B1581E}" name="Principal Cost As per  NFRS (In case of Sales)" totalsRowFunction="sum" dataDxfId="657" totalsRowDxfId="656" dataCellStyle="Comma"/>
    <tableColumn id="27" xr3:uid="{0502FD35-98E3-4CA6-A1A4-1FA89448E8AF}" name="TC AP NFRS" dataDxfId="655" totalsRowDxfId="654" dataCellStyle="Comma"/>
    <tableColumn id="24" xr3:uid="{006B201B-D2F3-47CC-BB1F-11256693331C}" name="Unit Sum" dataDxfId="653" totalsRowDxfId="652" dataCellStyle="Comma"/>
    <tableColumn id="26" xr3:uid="{F97C057E-A759-4883-AEC3-D8AC7C36C3FC}" name="WACC AP NFRS" dataDxfId="651" dataCellStyle="Comma">
      <calculatedColumnFormula>IFERROR(Table2428308910131415161718123942434445464748495051525354[[#This Row],[TC AP NFRS]]/Table2428308910131415161718123942434445464748495051525354[[#This Row],[Unit Sum]],0)</calculatedColumnFormula>
    </tableColumn>
    <tableColumn id="21" xr3:uid="{79288449-7C55-4494-B4F7-AE38A6307067}" name="P/L AP NFRS" totalsRowFunction="sum" dataDxfId="650" dataCellStyle="Comma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D93A14F-6168-443C-BE96-FF06E4058EB4}" name="Table24283089101314151623" displayName="Table24283089101314151623" ref="A6:P16" headerRowDxfId="649" dataDxfId="647" totalsRowDxfId="645" headerRowBorderDxfId="648" tableBorderDxfId="646" totalsRowBorderDxfId="644">
  <tableColumns count="16">
    <tableColumn id="1" xr3:uid="{6E10421F-5FB8-49EE-83C0-5D96DBB39757}" name="S.No" totalsRowLabel="Total" dataDxfId="643" totalsRowDxfId="642"/>
    <tableColumn id="2" xr3:uid="{016D6343-3ABA-47E8-A126-D4C87F34187D}" name="SYMBOL" dataDxfId="641" totalsRowDxfId="640"/>
    <tableColumn id="12" xr3:uid="{28A28D16-A49A-4805-A40A-921D3C623F90}" name="Bill No" dataDxfId="639" totalsRowDxfId="638"/>
    <tableColumn id="3" xr3:uid="{4BFFDDF7-B950-486C-811D-63C094CB14CA}" name="Txn Date" dataDxfId="637"/>
    <tableColumn id="4" xr3:uid="{3C4D9743-AC31-4917-8E68-D1B173EA05EC}" name="Txn Type" dataDxfId="636"/>
    <tableColumn id="5" xr3:uid="{27D9088E-D424-4D96-A25E-7C57D7157047}" name="Purchase QTY" dataDxfId="635" totalsRowDxfId="634" dataCellStyle="Comma"/>
    <tableColumn id="6" xr3:uid="{6538E527-F84A-4571-B550-A2922301F835}" name="PPPU" dataDxfId="633" totalsRowDxfId="632" dataCellStyle="Comma">
      <calculatedColumnFormula>Table24283089101314151623[[#This Row],[Total Purchase Amount]]/Table24283089101314151623[[#This Row],[Purchase QTY]]</calculatedColumnFormula>
    </tableColumn>
    <tableColumn id="7" xr3:uid="{8FBAE98E-0957-42F0-9B6A-4F7F4924413D}" name="Total Purchase Amount" dataDxfId="631" totalsRowDxfId="630" dataCellStyle="Comma"/>
    <tableColumn id="13" xr3:uid="{A6886132-9772-4247-B8FD-5F07A36701FE}" name="Sales Qty" dataDxfId="629" totalsRowDxfId="628" dataCellStyle="Comma"/>
    <tableColumn id="8" xr3:uid="{25FC883F-A3CF-4E01-9E84-004DCDC5FBAD}" name="SPPU" dataDxfId="627" totalsRowDxfId="626" dataCellStyle="Comma">
      <calculatedColumnFormula>Table24283089101314151623[[#This Row],[Sales Amt]]/Table24283089101314151623[[#This Row],[Sales Qty]]</calculatedColumnFormula>
    </tableColumn>
    <tableColumn id="9" xr3:uid="{86CB3814-CE22-4F8C-BADC-6C889C2B1013}" name="Sales Amt" dataDxfId="625" totalsRowDxfId="624" dataCellStyle="Comma">
      <calculatedColumnFormula>Table24283089101314151623[[#This Row],[Sales Qty]]*Table24283089101314151623[[#This Row],[SPPU]]</calculatedColumnFormula>
    </tableColumn>
    <tableColumn id="28" xr3:uid="{3C28617D-CB40-431F-81B4-040BC02A0B09}" name="Principal Cost As per  NFRS (In case of Sales)" totalsRowFunction="sum" dataDxfId="623" totalsRowDxfId="622" dataCellStyle="Comma"/>
    <tableColumn id="27" xr3:uid="{F3F4AAC6-C432-4778-8106-5B5D5A4452C6}" name="TC AP NFRS" dataDxfId="621" totalsRowDxfId="620" dataCellStyle="Comma"/>
    <tableColumn id="24" xr3:uid="{2E3BF623-874C-429D-BBB5-EA0F30546975}" name="Unit Sum" dataDxfId="619" totalsRowDxfId="618" dataCellStyle="Comma"/>
    <tableColumn id="26" xr3:uid="{328D5013-2048-4589-A872-28AFCDD452ED}" name="WACC AP NFRS" dataDxfId="617" dataCellStyle="Comma">
      <calculatedColumnFormula>Table24283089101314151623[[#This Row],[TC AP NFRS]]/Table24283089101314151623[[#This Row],[Unit Sum]]</calculatedColumnFormula>
    </tableColumn>
    <tableColumn id="21" xr3:uid="{0ED62D7F-0CCB-4B7A-945D-BA1ECBCF70B0}" name="P/L AP NFRS" totalsRowFunction="sum" dataDxfId="616" dataCellStyle="Comma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905E0A8-9EAD-42A1-96A0-2A22013D9BBF}" name="Table2428308910131415162324" displayName="Table2428308910131415162324" ref="A6:P16" headerRowDxfId="615" dataDxfId="613" totalsRowDxfId="611" headerRowBorderDxfId="614" tableBorderDxfId="612" totalsRowBorderDxfId="610">
  <tableColumns count="16">
    <tableColumn id="1" xr3:uid="{34E20332-470A-4E59-9FD7-D7FC61C2F797}" name="S.No" totalsRowLabel="Total" dataDxfId="609" totalsRowDxfId="608"/>
    <tableColumn id="2" xr3:uid="{B0D3CDD0-EAB5-429A-9389-851F62A590D6}" name="SYMBOL" dataDxfId="607" totalsRowDxfId="606"/>
    <tableColumn id="12" xr3:uid="{D3D32786-CB9E-4632-8419-A5295D6FB98C}" name="Bill No" dataDxfId="605" totalsRowDxfId="604"/>
    <tableColumn id="3" xr3:uid="{E124537D-D382-418E-B35B-C15BC160C0D7}" name="Txn Date" dataDxfId="603"/>
    <tableColumn id="4" xr3:uid="{CA141655-6499-4300-A7FC-A16C08926BF7}" name="Txn Type" dataDxfId="602"/>
    <tableColumn id="5" xr3:uid="{4CE8F30B-387C-4827-85DE-BCCE166118C3}" name="Purchase QTY" dataDxfId="601" totalsRowDxfId="600" dataCellStyle="Comma"/>
    <tableColumn id="6" xr3:uid="{1CED49DF-3341-4EDE-B64B-0B022E39D845}" name="PPPU" dataDxfId="599" totalsRowDxfId="598" dataCellStyle="Comma">
      <calculatedColumnFormula>Table2428308910131415162324[[#This Row],[Total Purchase Amount]]/Table2428308910131415162324[[#This Row],[Purchase QTY]]</calculatedColumnFormula>
    </tableColumn>
    <tableColumn id="7" xr3:uid="{C73287B5-1340-4B19-889B-54662BD21A2C}" name="Total Purchase Amount" dataDxfId="597" totalsRowDxfId="596" dataCellStyle="Comma"/>
    <tableColumn id="13" xr3:uid="{2264B42D-6445-45DE-9C5C-1F22CDD4D073}" name="Sales Qty" dataDxfId="595" totalsRowDxfId="594" dataCellStyle="Comma"/>
    <tableColumn id="8" xr3:uid="{04618E72-4F20-4C93-8174-DB3B649C1564}" name="SPPU" dataDxfId="593" totalsRowDxfId="592" dataCellStyle="Comma">
      <calculatedColumnFormula>Table2428308910131415162324[[#This Row],[Sales Amt]]/Table2428308910131415162324[[#This Row],[Sales Qty]]</calculatedColumnFormula>
    </tableColumn>
    <tableColumn id="9" xr3:uid="{1C1548EA-D1F1-44AE-AB9A-18D96829817D}" name="Sales Amt" dataDxfId="591" totalsRowDxfId="590" dataCellStyle="Comma">
      <calculatedColumnFormula>Table2428308910131415162324[[#This Row],[Sales Qty]]*Table2428308910131415162324[[#This Row],[SPPU]]</calculatedColumnFormula>
    </tableColumn>
    <tableColumn id="28" xr3:uid="{F8699EEC-07E0-4376-8D69-A6CFCFC5FE74}" name="Principal Cost As per  NFRS (In case of Sales)" totalsRowFunction="sum" dataDxfId="589" totalsRowDxfId="588" dataCellStyle="Comma"/>
    <tableColumn id="27" xr3:uid="{B9F34ABC-D778-4608-97B3-CEE7E36CE25E}" name="TC AP NFRS" dataDxfId="587" totalsRowDxfId="586" dataCellStyle="Comma"/>
    <tableColumn id="24" xr3:uid="{AD7DB0A3-09FF-4E7D-BF9A-40C7EA1C7DB2}" name="Unit Sum" dataDxfId="585" totalsRowDxfId="584" dataCellStyle="Comma"/>
    <tableColumn id="26" xr3:uid="{5688D78A-90C5-422D-81E7-73E0E38067A5}" name="WACC AP NFRS" dataDxfId="583" dataCellStyle="Comma">
      <calculatedColumnFormula>Table2428308910131415162324[[#This Row],[TC AP NFRS]]/Table2428308910131415162324[[#This Row],[Unit Sum]]</calculatedColumnFormula>
    </tableColumn>
    <tableColumn id="21" xr3:uid="{C323D451-56F8-43E7-A118-AA89E9EBF994}" name="P/L AP NFRS" totalsRowFunction="sum" dataDxfId="582" dataCellStyle="Comma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D7382B7-E09C-487A-B30B-1AE6AC0FCD11}" name="Table242830891013141516232425" displayName="Table242830891013141516232425" ref="A6:P11" headerRowDxfId="581" dataDxfId="579" totalsRowDxfId="577" headerRowBorderDxfId="580" tableBorderDxfId="578" totalsRowBorderDxfId="576">
  <tableColumns count="16">
    <tableColumn id="1" xr3:uid="{E8A759BB-E5F6-4370-8DAF-C1030184D5DA}" name="S.No" totalsRowLabel="Total" dataDxfId="575" totalsRowDxfId="574"/>
    <tableColumn id="2" xr3:uid="{08DC2535-C107-40BB-B0EA-4DEE2C9256F9}" name="SYMBOL" dataDxfId="573" totalsRowDxfId="572"/>
    <tableColumn id="12" xr3:uid="{E604F3B6-F07A-4331-8471-E738E87A38C8}" name="Bill No" dataDxfId="571" totalsRowDxfId="570"/>
    <tableColumn id="3" xr3:uid="{C0E4020E-94D8-4A52-8EBF-DBC6EF078157}" name="Txn Date" dataDxfId="569"/>
    <tableColumn id="4" xr3:uid="{7C6B4886-F3B4-4799-BF2F-E7CC172DB7E4}" name="Txn Type" dataDxfId="568"/>
    <tableColumn id="5" xr3:uid="{1F8F3617-BACB-46E2-9DA3-CFE5C6CE21D4}" name="Purchase QTY" dataDxfId="567" totalsRowDxfId="566" dataCellStyle="Comma"/>
    <tableColumn id="6" xr3:uid="{95C1FDCC-63CE-453A-93B6-45B45127D9C4}" name="PPPU" dataDxfId="565" totalsRowDxfId="564" dataCellStyle="Comma">
      <calculatedColumnFormula>Table242830891013141516232425[[#This Row],[Total Purchase Amount]]/Table242830891013141516232425[[#This Row],[Purchase QTY]]</calculatedColumnFormula>
    </tableColumn>
    <tableColumn id="7" xr3:uid="{626B4F81-A21A-48B1-AED9-050D45227893}" name="Total Purchase Amount" dataDxfId="563" totalsRowDxfId="562" dataCellStyle="Comma"/>
    <tableColumn id="13" xr3:uid="{5640600A-1F4F-408F-AC7D-99E901B45A42}" name="Sales Qty" dataDxfId="561" totalsRowDxfId="560" dataCellStyle="Comma"/>
    <tableColumn id="8" xr3:uid="{2A424088-8A47-482C-B38A-97BDC92CC3DF}" name="SPPU" dataDxfId="559" totalsRowDxfId="558" dataCellStyle="Comma">
      <calculatedColumnFormula>Table242830891013141516232425[[#This Row],[Sales Amt]]/Table242830891013141516232425[[#This Row],[Sales Qty]]</calculatedColumnFormula>
    </tableColumn>
    <tableColumn id="9" xr3:uid="{305F3D86-2B6B-41E3-8306-699514ECB9C8}" name="Sales Amt" dataDxfId="557" totalsRowDxfId="556" dataCellStyle="Comma">
      <calculatedColumnFormula>Table242830891013141516232425[[#This Row],[Sales Qty]]*Table242830891013141516232425[[#This Row],[SPPU]]</calculatedColumnFormula>
    </tableColumn>
    <tableColumn id="28" xr3:uid="{4EB314A0-977D-4892-97E0-E67440629BF6}" name="Principal Cost As per  NFRS (In case of Sales)" totalsRowFunction="sum" dataDxfId="555" totalsRowDxfId="554" dataCellStyle="Comma"/>
    <tableColumn id="27" xr3:uid="{4928FB8E-37D0-4385-AC61-CDD88398319C}" name="TC AP NFRS" dataDxfId="553" totalsRowDxfId="552" dataCellStyle="Comma"/>
    <tableColumn id="24" xr3:uid="{C29ACD4A-16E9-4D17-8DA6-4885AD450DDF}" name="Unit Sum" dataDxfId="551" totalsRowDxfId="550" dataCellStyle="Comma"/>
    <tableColumn id="26" xr3:uid="{10AA4410-C4B5-42B8-ACBA-DBD091710F49}" name="WACC AP NFRS" dataDxfId="549" dataCellStyle="Comma">
      <calculatedColumnFormula>Table242830891013141516232425[[#This Row],[TC AP NFRS]]/Table242830891013141516232425[[#This Row],[Unit Sum]]</calculatedColumnFormula>
    </tableColumn>
    <tableColumn id="21" xr3:uid="{EAEA3D0A-06C0-4532-A41D-37EBD144BDF1}" name="P/L AP NFRS" totalsRowFunction="sum" dataDxfId="548" dataCellStyle="Comma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F2166F5-984E-4C0C-8BAC-9115B11013CB}" name="Table242830891013141516171819202126" displayName="Table242830891013141516171819202126" ref="A6:P14" headerRowDxfId="547" dataDxfId="545" totalsRowDxfId="543" headerRowBorderDxfId="546" tableBorderDxfId="544" totalsRowBorderDxfId="542">
  <tableColumns count="16">
    <tableColumn id="1" xr3:uid="{E05615D7-B9F6-4640-A340-D228BE2820D1}" name="S.No" totalsRowLabel="Total" dataDxfId="541" totalsRowDxfId="540"/>
    <tableColumn id="2" xr3:uid="{4AB9ED93-F0D9-49EE-80DC-C368DA9CDB32}" name="SYMBOL" dataDxfId="539" totalsRowDxfId="538"/>
    <tableColumn id="12" xr3:uid="{286A4810-EC86-4177-861C-B216E0340091}" name="Bill No" dataDxfId="537" totalsRowDxfId="536"/>
    <tableColumn id="3" xr3:uid="{12C41611-5206-414F-9680-D9C4A400CBEE}" name="Txn Date" dataDxfId="535"/>
    <tableColumn id="4" xr3:uid="{9AB38E89-E697-4F1C-830D-3F7D02D1B11B}" name="Txn Type" dataDxfId="534"/>
    <tableColumn id="5" xr3:uid="{90BA1C62-1B49-44E1-AEA7-341203EC905F}" name="Purchase QTY" dataDxfId="533" totalsRowDxfId="532" dataCellStyle="Comma"/>
    <tableColumn id="6" xr3:uid="{02729FF3-208D-44EF-A2AC-F551EAFFFDAF}" name="PPPU" dataDxfId="531" totalsRowDxfId="530" dataCellStyle="Comma">
      <calculatedColumnFormula>Table242830891013141516171819202126[[#This Row],[Total Purchase Amount]]/Table242830891013141516171819202126[[#This Row],[Purchase QTY]]</calculatedColumnFormula>
    </tableColumn>
    <tableColumn id="7" xr3:uid="{C38AA5B0-1F3C-498C-B72D-6E8F5899E6C5}" name="Total Purchase Amount" dataDxfId="529" totalsRowDxfId="528" dataCellStyle="Comma"/>
    <tableColumn id="13" xr3:uid="{1A37279D-8FBF-4557-9578-F5E5F9B42A68}" name="Sales Qty" dataDxfId="527" totalsRowDxfId="526" dataCellStyle="Comma"/>
    <tableColumn id="8" xr3:uid="{4ACFF6FD-6A0A-4BF5-8939-2F3E62E86ABC}" name="SPPU" dataDxfId="525" totalsRowDxfId="524" dataCellStyle="Comma">
      <calculatedColumnFormula>Table242830891013141516171819202126[[#This Row],[Sales Amt]]/Table242830891013141516171819202126[[#This Row],[Sales Qty]]</calculatedColumnFormula>
    </tableColumn>
    <tableColumn id="9" xr3:uid="{B76CFA18-B360-4EF8-9B3E-B32BBC856384}" name="Sales Amt" dataDxfId="523" totalsRowDxfId="522" dataCellStyle="Comma">
      <calculatedColumnFormula>Table242830891013141516171819202126[[#This Row],[Sales Qty]]*Table242830891013141516171819202126[[#This Row],[SPPU]]</calculatedColumnFormula>
    </tableColumn>
    <tableColumn id="28" xr3:uid="{8B194AA8-322E-4F94-81CC-4C0296CCD238}" name="Principal Cost As per  NFRS (In case of Sales)" totalsRowFunction="sum" dataDxfId="521" totalsRowDxfId="520" dataCellStyle="Comma"/>
    <tableColumn id="27" xr3:uid="{BE9292F1-B235-450B-BD54-4C65B1F25938}" name="TC AP NFRS" dataDxfId="519" totalsRowDxfId="518" dataCellStyle="Comma"/>
    <tableColumn id="24" xr3:uid="{FE07AEA2-D7EF-41D1-BB8D-849ABAA0D3AA}" name="Unit Sum" dataDxfId="517" totalsRowDxfId="516" dataCellStyle="Comma"/>
    <tableColumn id="26" xr3:uid="{E2589438-B4DE-4D25-98C5-1634E4106A27}" name="WACC AP NFRS" dataDxfId="515" dataCellStyle="Comma">
      <calculatedColumnFormula>Table242830891013141516171819202126[[#This Row],[TC AP NFRS]]/Table242830891013141516171819202126[[#This Row],[Unit Sum]]</calculatedColumnFormula>
    </tableColumn>
    <tableColumn id="21" xr3:uid="{2274172E-8E42-4752-AD7C-27639C727CB8}" name="P/L AP NFRS" totalsRowFunction="sum" dataDxfId="514" dataCellStyle="Comma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C45AD9F-BE73-4F78-8914-16047FF5BCCE}" name="Table24283089101314151617181238" displayName="Table24283089101314151617181238" ref="A6:P13" headerRowDxfId="513" dataDxfId="511" totalsRowDxfId="509" headerRowBorderDxfId="512" tableBorderDxfId="510" totalsRowBorderDxfId="508">
  <tableColumns count="16">
    <tableColumn id="1" xr3:uid="{EC6B8C9E-F06F-4F53-8B09-DF704BD7981D}" name="S.No" totalsRowLabel="Total" dataDxfId="507" totalsRowDxfId="506"/>
    <tableColumn id="2" xr3:uid="{27A34C85-CFD2-40EC-96DD-B1B3ED7BC5AB}" name="SYMBOL" dataDxfId="505" totalsRowDxfId="504"/>
    <tableColumn id="12" xr3:uid="{8183AA91-9CBB-43BD-AC1A-845A746E8DB6}" name="Bill No" dataDxfId="503" totalsRowDxfId="502"/>
    <tableColumn id="3" xr3:uid="{AEC159A0-946B-4D6E-BB24-B00B6DC960F6}" name="Txn Date" dataDxfId="501"/>
    <tableColumn id="4" xr3:uid="{B38C60B6-560B-4879-8CB3-9CA977D8D1F8}" name="Txn Type" dataDxfId="500"/>
    <tableColumn id="5" xr3:uid="{FDF207D8-0D64-44EE-8E7F-4428F0184D16}" name="Purchase QTY" dataDxfId="499" totalsRowDxfId="498" dataCellStyle="Comma"/>
    <tableColumn id="6" xr3:uid="{18CB6CF9-E910-458C-AB62-51F0A475C7B8}" name="PPPU" dataDxfId="497" totalsRowDxfId="496" dataCellStyle="Comma">
      <calculatedColumnFormula>Table24283089101314151617181238[[#This Row],[Total Purchase Amount]]/Table24283089101314151617181238[[#This Row],[Purchase QTY]]</calculatedColumnFormula>
    </tableColumn>
    <tableColumn id="7" xr3:uid="{9696B827-5BB1-447B-A531-D0DAB495F050}" name="Total Purchase Amount" dataDxfId="495" totalsRowDxfId="494" dataCellStyle="Comma"/>
    <tableColumn id="13" xr3:uid="{DCA59B61-6E0E-4DB7-989F-CEA7F8CF45F3}" name="Sales Qty" dataDxfId="493" totalsRowDxfId="492" dataCellStyle="Comma"/>
    <tableColumn id="8" xr3:uid="{616EEE28-9525-46CA-9D01-B91B714CD141}" name="SPPU" dataDxfId="491" totalsRowDxfId="490" dataCellStyle="Comma">
      <calculatedColumnFormula>Table24283089101314151617181238[[#This Row],[Sales Amt]]/Table24283089101314151617181238[[#This Row],[Sales Qty]]</calculatedColumnFormula>
    </tableColumn>
    <tableColumn id="9" xr3:uid="{25775DC3-261F-422D-ACE1-A37258630888}" name="Sales Amt" dataDxfId="489" totalsRowDxfId="488" dataCellStyle="Comma">
      <calculatedColumnFormula>Table24283089101314151617181238[[#This Row],[Sales Qty]]*Table24283089101314151617181238[[#This Row],[SPPU]]</calculatedColumnFormula>
    </tableColumn>
    <tableColumn id="28" xr3:uid="{39C4BDE5-55AF-49E3-8BFC-B3771909C59A}" name="Principal Cost As per  NFRS (In case of Sales)" totalsRowFunction="sum" dataDxfId="487" totalsRowDxfId="486" dataCellStyle="Comma"/>
    <tableColumn id="27" xr3:uid="{E9F28322-C8B9-4539-BEB9-67F933F428EC}" name="TC AP NFRS" dataDxfId="485" totalsRowDxfId="484" dataCellStyle="Comma"/>
    <tableColumn id="24" xr3:uid="{59C3004E-4BAC-44BB-BCD8-2EF20B64D753}" name="Unit Sum" dataDxfId="483" totalsRowDxfId="482" dataCellStyle="Comma"/>
    <tableColumn id="26" xr3:uid="{62F289C6-810C-4FE8-B37B-E1DC7A2EC2EF}" name="WACC AP NFRS" dataDxfId="481" dataCellStyle="Comma">
      <calculatedColumnFormula>Table24283089101314151617181238[[#This Row],[TC AP NFRS]]/Table24283089101314151617181238[[#This Row],[Unit Sum]]</calculatedColumnFormula>
    </tableColumn>
    <tableColumn id="21" xr3:uid="{6704E0BC-BFF1-4D87-BED3-CEB8F9B77039}" name="P/L AP NFRS" totalsRowFunction="sum" dataDxfId="480" dataCellStyle="Comma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817893-EA89-4E8E-B783-69BC06156469}" name="Table242830891013141516171812" displayName="Table242830891013141516171812" ref="A6:P17" headerRowDxfId="479" dataDxfId="477" totalsRowDxfId="475" headerRowBorderDxfId="478" tableBorderDxfId="476" totalsRowBorderDxfId="474">
  <tableColumns count="16">
    <tableColumn id="1" xr3:uid="{12CD246F-4EEC-44BC-99CA-6419686912A7}" name="S.No" totalsRowLabel="Total" dataDxfId="473" totalsRowDxfId="472"/>
    <tableColumn id="2" xr3:uid="{91A66051-E426-481C-9FD0-E3028C5C2256}" name="SYMBOL" dataDxfId="471" totalsRowDxfId="470"/>
    <tableColumn id="12" xr3:uid="{C050BF6D-DAD3-42A6-8FDA-D30169EC4634}" name="Bill No" dataDxfId="469" totalsRowDxfId="468"/>
    <tableColumn id="3" xr3:uid="{034F0346-1685-4827-BA92-C8AF55F2E26B}" name="Txn Date" dataDxfId="467"/>
    <tableColumn id="4" xr3:uid="{234E6BAF-DA89-477A-963C-834A00947368}" name="Txn Type" dataDxfId="466"/>
    <tableColumn id="5" xr3:uid="{495C978F-A3F5-4AB1-BC9D-53FD1FEDFA6E}" name="Purchase QTY" dataDxfId="465" totalsRowDxfId="464" dataCellStyle="Comma"/>
    <tableColumn id="6" xr3:uid="{6253213A-63B1-45BC-82E7-8C0F7E3C26D0}" name="PPPU" dataDxfId="463" totalsRowDxfId="462" dataCellStyle="Comma">
      <calculatedColumnFormula>Table242830891013141516171812[[#This Row],[Total Purchase Amount]]/Table242830891013141516171812[[#This Row],[Purchase QTY]]</calculatedColumnFormula>
    </tableColumn>
    <tableColumn id="7" xr3:uid="{D9BE145F-2C4C-4100-BB31-DA954CAD3D35}" name="Total Purchase Amount" dataDxfId="461" totalsRowDxfId="460" dataCellStyle="Comma"/>
    <tableColumn id="13" xr3:uid="{AE469899-A5AD-4643-BD56-78FC1A2E4759}" name="Sales Qty" dataDxfId="459" totalsRowDxfId="458" dataCellStyle="Comma"/>
    <tableColumn id="8" xr3:uid="{50E2BA91-84B0-4B93-BF8E-7A4E91555B9C}" name="SPPU" dataDxfId="457" totalsRowDxfId="456" dataCellStyle="Comma">
      <calculatedColumnFormula>Table242830891013141516171812[[#This Row],[Sales Amt]]/Table242830891013141516171812[[#This Row],[Sales Qty]]</calculatedColumnFormula>
    </tableColumn>
    <tableColumn id="9" xr3:uid="{BEFFD7C6-2D0B-4FB6-9E97-D70FA449A813}" name="Sales Amt" dataDxfId="455" totalsRowDxfId="454" dataCellStyle="Comma">
      <calculatedColumnFormula>Table242830891013141516171812[[#This Row],[Sales Qty]]*Table242830891013141516171812[[#This Row],[SPPU]]</calculatedColumnFormula>
    </tableColumn>
    <tableColumn id="28" xr3:uid="{0247AD46-56A0-45C2-AF5D-5B3791126C75}" name="Principal Cost As per  NFRS (In case of Sales)" totalsRowFunction="sum" dataDxfId="453" totalsRowDxfId="452" dataCellStyle="Comma"/>
    <tableColumn id="27" xr3:uid="{B8304D06-8559-4048-822D-BDD4CBD5A985}" name="TC AP NFRS" dataDxfId="451" totalsRowDxfId="450" dataCellStyle="Comma"/>
    <tableColumn id="24" xr3:uid="{6A8680FB-F138-4367-B764-4EF9E1A77034}" name="Unit Sum" dataDxfId="449" totalsRowDxfId="448" dataCellStyle="Comma"/>
    <tableColumn id="26" xr3:uid="{6E1E926D-B062-405B-8F97-DFC4B4BD4AD0}" name="WACC AP NFRS" dataDxfId="447" dataCellStyle="Comma">
      <calculatedColumnFormula>Table242830891013141516171812[[#This Row],[TC AP NFRS]]/Table242830891013141516171812[[#This Row],[Unit Sum]]</calculatedColumnFormula>
    </tableColumn>
    <tableColumn id="21" xr3:uid="{D1B5EBD3-4F2F-4533-B008-2D99B9DD9CED}" name="P/L AP NFRS" totalsRowFunction="sum" dataDxfId="446" dataCellStyle="Comma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8CC149D-E225-4019-A0E7-E7406297F3B2}" name="Table24283089101314151617181239" displayName="Table24283089101314151617181239" ref="A6:P17" headerRowDxfId="445" dataDxfId="443" totalsRowDxfId="441" headerRowBorderDxfId="444" tableBorderDxfId="442" totalsRowBorderDxfId="440">
  <tableColumns count="16">
    <tableColumn id="1" xr3:uid="{8D097F0F-ED93-4496-A611-86BC07DC1182}" name="S.No" totalsRowLabel="Total" dataDxfId="439" totalsRowDxfId="438"/>
    <tableColumn id="2" xr3:uid="{C8EB528A-545D-4F89-9517-76A826339267}" name="SYMBOL" dataDxfId="437" totalsRowDxfId="436"/>
    <tableColumn id="12" xr3:uid="{CFD89D74-B36D-4EE5-914A-CE757E8F14F2}" name="Bill No" dataDxfId="435" totalsRowDxfId="434"/>
    <tableColumn id="3" xr3:uid="{8196D56A-501C-4232-8346-BD2DDDE12DA3}" name="Txn Date" dataDxfId="433"/>
    <tableColumn id="4" xr3:uid="{C03ADC50-363F-4A12-9526-4726D3AF62B7}" name="Txn Type" dataDxfId="432"/>
    <tableColumn id="5" xr3:uid="{15D0B2AB-D350-44C5-A19C-F6B278BB4B84}" name="Purchase QTY" dataDxfId="431" totalsRowDxfId="430" dataCellStyle="Comma"/>
    <tableColumn id="6" xr3:uid="{36D7D568-F088-4003-A479-8479FF067D72}" name="PPPU" dataDxfId="429" totalsRowDxfId="428" dataCellStyle="Comma">
      <calculatedColumnFormula>Table24283089101314151617181239[[#This Row],[Total Purchase Amount]]/Table24283089101314151617181239[[#This Row],[Purchase QTY]]</calculatedColumnFormula>
    </tableColumn>
    <tableColumn id="7" xr3:uid="{822609CD-8490-4B9C-9D45-BD6FEB2A4277}" name="Total Purchase Amount" dataDxfId="427" totalsRowDxfId="426" dataCellStyle="Comma"/>
    <tableColumn id="13" xr3:uid="{E71D1346-5F84-45B4-AF5F-CBE6FC14D6EA}" name="Sales Qty" dataDxfId="425" totalsRowDxfId="424" dataCellStyle="Comma"/>
    <tableColumn id="8" xr3:uid="{C6834237-763C-47AA-AE48-147864B497BB}" name="SPPU" dataDxfId="423" totalsRowDxfId="422" dataCellStyle="Comma">
      <calculatedColumnFormula>Table24283089101314151617181239[[#This Row],[Sales Amt]]/Table24283089101314151617181239[[#This Row],[Sales Qty]]</calculatedColumnFormula>
    </tableColumn>
    <tableColumn id="9" xr3:uid="{16822F68-E5E0-418C-B5EA-5597904253A4}" name="Sales Amt" dataDxfId="421" totalsRowDxfId="420" dataCellStyle="Comma">
      <calculatedColumnFormula>Table24283089101314151617181239[[#This Row],[Sales Qty]]*Table24283089101314151617181239[[#This Row],[SPPU]]</calculatedColumnFormula>
    </tableColumn>
    <tableColumn id="28" xr3:uid="{B247CEF1-DE18-4A61-BBB8-C73E62741A24}" name="Principal Cost As per  NFRS (In case of Sales)" totalsRowFunction="sum" dataDxfId="419" totalsRowDxfId="418" dataCellStyle="Comma"/>
    <tableColumn id="27" xr3:uid="{6DDA62F4-B873-4F3E-B70B-C6D05E6B8266}" name="TC AP NFRS" dataDxfId="417" totalsRowDxfId="416" dataCellStyle="Comma"/>
    <tableColumn id="24" xr3:uid="{9C2FB114-A9D2-4733-AED7-5D3069AEC840}" name="Unit Sum" dataDxfId="415" totalsRowDxfId="414" dataCellStyle="Comma"/>
    <tableColumn id="26" xr3:uid="{01270F9F-B972-4DEF-81B6-6D5A5CEB440E}" name="WACC AP NFRS" dataDxfId="413" dataCellStyle="Comma">
      <calculatedColumnFormula>Table24283089101314151617181239[[#This Row],[TC AP NFRS]]/Table24283089101314151617181239[[#This Row],[Unit Sum]]</calculatedColumnFormula>
    </tableColumn>
    <tableColumn id="21" xr3:uid="{77026CAA-8722-48C0-A369-82A464D301C1}" name="P/L AP NFRS" totalsRowFunction="sum" dataDxfId="412" dataCellStyle="Comma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C78D2CD-8CFA-4FFA-B883-B536B2B26CC0}" name="Table2428308910131415161718123942" displayName="Table2428308910131415161718123942" ref="A6:P17" headerRowDxfId="411" dataDxfId="409" totalsRowDxfId="407" headerRowBorderDxfId="410" tableBorderDxfId="408" totalsRowBorderDxfId="406">
  <tableColumns count="16">
    <tableColumn id="1" xr3:uid="{0D55B49A-6B7C-49C5-9881-B1062497B50D}" name="S.No" totalsRowLabel="Total" dataDxfId="405" totalsRowDxfId="404"/>
    <tableColumn id="2" xr3:uid="{7CFBDC01-8183-469E-BA76-6D9EDA31B9C0}" name="SYMBOL" dataDxfId="403" totalsRowDxfId="402"/>
    <tableColumn id="12" xr3:uid="{1642858C-04D7-4A37-A4A2-F6AB40E72FBF}" name="Bill No" dataDxfId="401" totalsRowDxfId="400"/>
    <tableColumn id="3" xr3:uid="{57BAF440-170D-43B2-B96E-583DE9D63FA1}" name="Txn Date" dataDxfId="399"/>
    <tableColumn id="4" xr3:uid="{194412EC-5E32-4125-8EB7-DA1F425A4BAE}" name="Txn Type" dataDxfId="398"/>
    <tableColumn id="5" xr3:uid="{DC1382CC-566E-414F-8C0C-4268DC3754E8}" name="Purchase QTY" dataDxfId="397" totalsRowDxfId="396" dataCellStyle="Comma"/>
    <tableColumn id="6" xr3:uid="{882BFFD0-5CF0-4A40-BB79-284E7FD11DF3}" name="PPPU" dataDxfId="395" totalsRowDxfId="394" dataCellStyle="Comma">
      <calculatedColumnFormula>Table2428308910131415161718123942[[#This Row],[Total Purchase Amount]]/Table2428308910131415161718123942[[#This Row],[Purchase QTY]]</calculatedColumnFormula>
    </tableColumn>
    <tableColumn id="7" xr3:uid="{CE52F842-D02E-43CF-8231-B4280C759B34}" name="Total Purchase Amount" dataDxfId="393" totalsRowDxfId="392" dataCellStyle="Comma"/>
    <tableColumn id="13" xr3:uid="{A8FC50D3-A2DB-47D6-8F2C-5CCDE6CDF3F5}" name="Sales Qty" dataDxfId="391" totalsRowDxfId="390" dataCellStyle="Comma"/>
    <tableColumn id="8" xr3:uid="{92C5B9D8-E1FA-40D7-961D-C5C202A12729}" name="SPPU" dataDxfId="389" totalsRowDxfId="388" dataCellStyle="Comma">
      <calculatedColumnFormula>Table2428308910131415161718123942[[#This Row],[Sales Amt]]/Table2428308910131415161718123942[[#This Row],[Sales Qty]]</calculatedColumnFormula>
    </tableColumn>
    <tableColumn id="9" xr3:uid="{206A40F5-6A8B-49E4-BD6C-D3A49F326620}" name="Sales Amt" dataDxfId="387" totalsRowDxfId="386" dataCellStyle="Comma">
      <calculatedColumnFormula>Table2428308910131415161718123942[[#This Row],[Sales Qty]]*Table2428308910131415161718123942[[#This Row],[SPPU]]</calculatedColumnFormula>
    </tableColumn>
    <tableColumn id="28" xr3:uid="{38A4F313-58AD-40BC-B11A-36E7CE6F7985}" name="Principal Cost As per  NFRS (In case of Sales)" totalsRowFunction="sum" dataDxfId="385" totalsRowDxfId="384" dataCellStyle="Comma"/>
    <tableColumn id="27" xr3:uid="{13BB95B5-7523-4962-B724-5CAD700E04D2}" name="TC AP NFRS" dataDxfId="383" totalsRowDxfId="382" dataCellStyle="Comma"/>
    <tableColumn id="24" xr3:uid="{6840A4F5-05F3-44A8-82C3-D03A87DBA4B8}" name="Unit Sum" dataDxfId="381" totalsRowDxfId="380" dataCellStyle="Comma"/>
    <tableColumn id="26" xr3:uid="{E9278008-ECE2-4E85-BD40-50D56ACE6F4B}" name="WACC AP NFRS" dataDxfId="379" dataCellStyle="Comma">
      <calculatedColumnFormula>IFERROR(Table2428308910131415161718123942[[#This Row],[TC AP NFRS]]/Table2428308910131415161718123942[[#This Row],[Unit Sum]],0)</calculatedColumnFormula>
    </tableColumn>
    <tableColumn id="21" xr3:uid="{8E3F7F9F-06C9-4A06-84C5-94E8655C7BEC}" name="P/L AP NFRS" totalsRowFunction="sum" dataDxfId="378" dataCellStyle="Comma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D59B330-B35B-4DE7-B79C-DEC97E0EC398}" name="Table242830891013141516171812394243" displayName="Table242830891013141516171812394243" ref="A6:P17" headerRowDxfId="377" dataDxfId="375" totalsRowDxfId="373" headerRowBorderDxfId="376" tableBorderDxfId="374" totalsRowBorderDxfId="372">
  <tableColumns count="16">
    <tableColumn id="1" xr3:uid="{84E006E9-F1C4-4CD4-A5DE-1FCF992A515E}" name="S.No" totalsRowLabel="Total" dataDxfId="371" totalsRowDxfId="370"/>
    <tableColumn id="2" xr3:uid="{F9577926-ED4F-4AA7-AEA6-860836729155}" name="SYMBOL" dataDxfId="369" totalsRowDxfId="368"/>
    <tableColumn id="12" xr3:uid="{5E1D1710-FA2F-478B-B804-44F28F7EB4BC}" name="Bill No" dataDxfId="367" totalsRowDxfId="366"/>
    <tableColumn id="3" xr3:uid="{4B72A347-2412-4629-AD7D-F07758DEB227}" name="Txn Date" dataDxfId="365"/>
    <tableColumn id="4" xr3:uid="{73BF06BE-DCEB-45BF-A313-E46EF46C46CF}" name="Txn Type" dataDxfId="364"/>
    <tableColumn id="5" xr3:uid="{683BF96A-8EAA-4649-9E09-B4C1256980BE}" name="Purchase QTY" dataDxfId="363" totalsRowDxfId="362" dataCellStyle="Comma"/>
    <tableColumn id="6" xr3:uid="{2D5565E0-FEB4-4A8B-9D3C-74B7390BF7FE}" name="PPPU" dataDxfId="361" totalsRowDxfId="360" dataCellStyle="Comma">
      <calculatedColumnFormula>Table242830891013141516171812394243[[#This Row],[Total Purchase Amount]]/Table242830891013141516171812394243[[#This Row],[Purchase QTY]]</calculatedColumnFormula>
    </tableColumn>
    <tableColumn id="7" xr3:uid="{9DF1A91B-51F8-40B0-AD2C-7C9ECA2B5BFF}" name="Total Purchase Amount" dataDxfId="359" totalsRowDxfId="358" dataCellStyle="Comma"/>
    <tableColumn id="13" xr3:uid="{0B3DF33F-63AC-48BF-AA36-38ABEE47850A}" name="Sales Qty" dataDxfId="357" totalsRowDxfId="356" dataCellStyle="Comma"/>
    <tableColumn id="8" xr3:uid="{DB91923C-B4FF-4189-8015-86113AC6CCC1}" name="SPPU" dataDxfId="355" totalsRowDxfId="354" dataCellStyle="Comma">
      <calculatedColumnFormula>Table242830891013141516171812394243[[#This Row],[Sales Amt]]/Table242830891013141516171812394243[[#This Row],[Sales Qty]]</calculatedColumnFormula>
    </tableColumn>
    <tableColumn id="9" xr3:uid="{4010710D-DF73-48E8-897D-0511B16B8283}" name="Sales Amt" dataDxfId="353" totalsRowDxfId="352" dataCellStyle="Comma">
      <calculatedColumnFormula>Table242830891013141516171812394243[[#This Row],[Sales Qty]]*Table242830891013141516171812394243[[#This Row],[SPPU]]</calculatedColumnFormula>
    </tableColumn>
    <tableColumn id="28" xr3:uid="{A4B3B2FC-689C-48B1-A2A5-546A4B0178B7}" name="Principal Cost As per  NFRS (In case of Sales)" totalsRowFunction="sum" dataDxfId="351" totalsRowDxfId="350" dataCellStyle="Comma"/>
    <tableColumn id="27" xr3:uid="{628BCC87-34DB-436F-B7C8-611B184AFCDD}" name="TC AP NFRS" dataDxfId="349" totalsRowDxfId="348" dataCellStyle="Comma"/>
    <tableColumn id="24" xr3:uid="{DBED099B-7CBE-4F0A-98B5-AA9BA74706BE}" name="Unit Sum" dataDxfId="347" totalsRowDxfId="346" dataCellStyle="Comma"/>
    <tableColumn id="26" xr3:uid="{A14C3155-7DFD-48CD-A30D-C5FCF6E90F22}" name="WACC AP NFRS" dataDxfId="345" dataCellStyle="Comma">
      <calculatedColumnFormula>IFERROR(Table242830891013141516171812394243[[#This Row],[TC AP NFRS]]/Table242830891013141516171812394243[[#This Row],[Unit Sum]],0)</calculatedColumnFormula>
    </tableColumn>
    <tableColumn id="21" xr3:uid="{65A4B6DB-6BFE-4FF3-98B0-182163361494}" name="P/L AP NFRS" totalsRowFunction="sum" dataDxfId="344" dataCellStyle="Comma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7E2F79B-C55C-4C67-850C-E9C1DBF398C7}" name="Table24283089101314151617181239424344" displayName="Table24283089101314151617181239424344" ref="A6:P17" headerRowDxfId="343" dataDxfId="341" totalsRowDxfId="339" headerRowBorderDxfId="342" tableBorderDxfId="340" totalsRowBorderDxfId="338">
  <tableColumns count="16">
    <tableColumn id="1" xr3:uid="{C00A5FE5-CF11-4C6F-ACCC-51299DDF773A}" name="S.No" totalsRowLabel="Total" dataDxfId="337" totalsRowDxfId="336"/>
    <tableColumn id="2" xr3:uid="{0BA210B1-4CC8-4D60-998F-70F7DA7A001A}" name="SYMBOL" dataDxfId="335" totalsRowDxfId="334"/>
    <tableColumn id="12" xr3:uid="{8C50A278-FCE0-424D-83F9-7637031C2345}" name="Bill No" dataDxfId="333" totalsRowDxfId="332"/>
    <tableColumn id="3" xr3:uid="{3F16FE4C-7FB9-4493-B2C5-C315E6A71F56}" name="Txn Date" dataDxfId="331"/>
    <tableColumn id="4" xr3:uid="{EEA0CB38-7436-456F-B8DA-94FDF6DDD8E8}" name="Txn Type" dataDxfId="330"/>
    <tableColumn id="5" xr3:uid="{3FCE49E7-1C65-489E-9032-FA143080F7E1}" name="Purchase QTY" dataDxfId="329" totalsRowDxfId="328" dataCellStyle="Comma"/>
    <tableColumn id="6" xr3:uid="{6CD89E10-DFD4-4C72-9188-41ABF4C23142}" name="PPPU" dataDxfId="327" totalsRowDxfId="326" dataCellStyle="Comma">
      <calculatedColumnFormula>Table24283089101314151617181239424344[[#This Row],[Total Purchase Amount]]/Table24283089101314151617181239424344[[#This Row],[Purchase QTY]]</calculatedColumnFormula>
    </tableColumn>
    <tableColumn id="7" xr3:uid="{2F276FB0-2C77-43F4-97D7-912576E42BCB}" name="Total Purchase Amount" dataDxfId="325" totalsRowDxfId="324" dataCellStyle="Comma"/>
    <tableColumn id="13" xr3:uid="{16F38E11-678D-48F9-836C-4EF7A2384AD8}" name="Sales Qty" dataDxfId="323" totalsRowDxfId="322" dataCellStyle="Comma"/>
    <tableColumn id="8" xr3:uid="{2A2F3727-EBBE-41CD-AB1E-25AE289C5074}" name="SPPU" dataDxfId="321" totalsRowDxfId="320" dataCellStyle="Comma">
      <calculatedColumnFormula>Table24283089101314151617181239424344[[#This Row],[Sales Amt]]/Table24283089101314151617181239424344[[#This Row],[Sales Qty]]</calculatedColumnFormula>
    </tableColumn>
    <tableColumn id="9" xr3:uid="{64968959-FB42-4B0C-9BF1-48F0173F3CEC}" name="Sales Amt" dataDxfId="319" totalsRowDxfId="318" dataCellStyle="Comma">
      <calculatedColumnFormula>Table24283089101314151617181239424344[[#This Row],[Sales Qty]]*Table24283089101314151617181239424344[[#This Row],[SPPU]]</calculatedColumnFormula>
    </tableColumn>
    <tableColumn id="28" xr3:uid="{10CB90D1-1787-4A2A-8053-21E39666570D}" name="Principal Cost As per  NFRS (In case of Sales)" totalsRowFunction="sum" dataDxfId="317" totalsRowDxfId="316" dataCellStyle="Comma"/>
    <tableColumn id="27" xr3:uid="{CDE9AE20-0335-4C02-84A5-3AB1F1235EFC}" name="TC AP NFRS" dataDxfId="315" totalsRowDxfId="314" dataCellStyle="Comma"/>
    <tableColumn id="24" xr3:uid="{5B96509B-4F9B-4509-9DDD-8E098CAB4815}" name="Unit Sum" dataDxfId="313" totalsRowDxfId="312" dataCellStyle="Comma"/>
    <tableColumn id="26" xr3:uid="{3CD25313-15C8-4B35-AC54-2B48FD8BCD73}" name="WACC AP NFRS" dataDxfId="311" dataCellStyle="Comma">
      <calculatedColumnFormula>IFERROR(Table24283089101314151617181239424344[[#This Row],[TC AP NFRS]]/Table24283089101314151617181239424344[[#This Row],[Unit Sum]],0)</calculatedColumnFormula>
    </tableColumn>
    <tableColumn id="21" xr3:uid="{A09804D7-ACE7-49A1-AF9D-816EEE48E46B}" name="P/L AP NFRS" totalsRowFunction="sum" dataDxfId="310" dataCellStyle="Comm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DE6F285-587E-41B0-8960-C7FF8FC8FDEF}" name="Table2428308910131415161718123942434445" displayName="Table2428308910131415161718123942434445" ref="A6:P17" headerRowDxfId="309" dataDxfId="307" totalsRowDxfId="305" headerRowBorderDxfId="308" tableBorderDxfId="306" totalsRowBorderDxfId="304">
  <tableColumns count="16">
    <tableColumn id="1" xr3:uid="{811BE7D4-9A2A-4F81-88ED-DDA3F89D94D0}" name="S.No" totalsRowLabel="Total" dataDxfId="303" totalsRowDxfId="302"/>
    <tableColumn id="2" xr3:uid="{C8AA1BF8-E96D-4D5B-A0BF-8B9D1AD13CFD}" name="SYMBOL" dataDxfId="301" totalsRowDxfId="300"/>
    <tableColumn id="12" xr3:uid="{5FEABA5D-2F4F-4542-B717-A543FE0B134F}" name="Bill No" dataDxfId="299" totalsRowDxfId="298"/>
    <tableColumn id="3" xr3:uid="{77E74894-076D-46F7-9DC1-40B2235E5503}" name="Txn Date" dataDxfId="297"/>
    <tableColumn id="4" xr3:uid="{258A6027-EEF1-44CF-9DE1-C1949EBB0617}" name="Txn Type" dataDxfId="296"/>
    <tableColumn id="5" xr3:uid="{29929631-0D99-4090-B1E3-2E7F47FF9A66}" name="Purchase QTY" dataDxfId="295" totalsRowDxfId="294" dataCellStyle="Comma"/>
    <tableColumn id="6" xr3:uid="{72C6CA9A-8FB3-4067-9A42-BCF50997CBCC}" name="PPPU" dataDxfId="293" totalsRowDxfId="292" dataCellStyle="Comma">
      <calculatedColumnFormula>Table2428308910131415161718123942434445[[#This Row],[Total Purchase Amount]]/Table2428308910131415161718123942434445[[#This Row],[Purchase QTY]]</calculatedColumnFormula>
    </tableColumn>
    <tableColumn id="7" xr3:uid="{123B0E38-DA99-44E9-B274-E319448B803E}" name="Total Purchase Amount" dataDxfId="291" totalsRowDxfId="290" dataCellStyle="Comma"/>
    <tableColumn id="13" xr3:uid="{51591D15-B186-4053-984B-428971800DA4}" name="Sales Qty" dataDxfId="289" totalsRowDxfId="288" dataCellStyle="Comma"/>
    <tableColumn id="8" xr3:uid="{69BF7A2F-24B8-421B-A494-24F4AF059F9E}" name="SPPU" dataDxfId="287" totalsRowDxfId="286" dataCellStyle="Comma">
      <calculatedColumnFormula>Table2428308910131415161718123942434445[[#This Row],[Sales Amt]]/Table2428308910131415161718123942434445[[#This Row],[Sales Qty]]</calculatedColumnFormula>
    </tableColumn>
    <tableColumn id="9" xr3:uid="{8ED80E76-DF37-4940-A2AA-BCE790823E70}" name="Sales Amt" dataDxfId="285" totalsRowDxfId="284" dataCellStyle="Comma">
      <calculatedColumnFormula>Table2428308910131415161718123942434445[[#This Row],[Sales Qty]]*Table2428308910131415161718123942434445[[#This Row],[SPPU]]</calculatedColumnFormula>
    </tableColumn>
    <tableColumn id="28" xr3:uid="{0B4E5D2C-7AFF-4FEE-8DE5-0FE4DE72B31F}" name="Principal Cost As per  NFRS (In case of Sales)" totalsRowFunction="sum" dataDxfId="283" totalsRowDxfId="282" dataCellStyle="Comma"/>
    <tableColumn id="27" xr3:uid="{98ADB34B-73F4-4DC5-8F99-35434C8D9EDA}" name="TC AP NFRS" dataDxfId="281" totalsRowDxfId="280" dataCellStyle="Comma"/>
    <tableColumn id="24" xr3:uid="{27B2E5C8-0FE4-43B1-A86D-DABC37E2070C}" name="Unit Sum" dataDxfId="279" totalsRowDxfId="278" dataCellStyle="Comma"/>
    <tableColumn id="26" xr3:uid="{9B01F8DD-2E58-4622-8F37-37DCB45D1D15}" name="WACC AP NFRS" dataDxfId="277" dataCellStyle="Comma">
      <calculatedColumnFormula>IFERROR(Table2428308910131415161718123942434445[[#This Row],[TC AP NFRS]]/Table2428308910131415161718123942434445[[#This Row],[Unit Sum]],0)</calculatedColumnFormula>
    </tableColumn>
    <tableColumn id="21" xr3:uid="{65AF90A5-C62F-47CF-A795-4DA05C729C17}" name="P/L AP NFRS" totalsRowFunction="sum" dataDxfId="276" dataCellStyle="Comma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7CFE264-19F7-4EDC-86B5-F25F23E7CD0A}" name="Table242830891013141516171812394243444546" displayName="Table242830891013141516171812394243444546" ref="A6:P17" headerRowDxfId="275" dataDxfId="273" totalsRowDxfId="271" headerRowBorderDxfId="274" tableBorderDxfId="272" totalsRowBorderDxfId="270">
  <tableColumns count="16">
    <tableColumn id="1" xr3:uid="{2AD672F9-C993-437E-824F-EAEFC1AA6C14}" name="S.No" totalsRowLabel="Total" dataDxfId="269" totalsRowDxfId="268"/>
    <tableColumn id="2" xr3:uid="{5D46232B-7164-47F0-9124-039E2AED984E}" name="SYMBOL" dataDxfId="267" totalsRowDxfId="266"/>
    <tableColumn id="12" xr3:uid="{0796563D-4AD5-4870-BBD6-F4B88DC81FC7}" name="Bill No" dataDxfId="265" totalsRowDxfId="264"/>
    <tableColumn id="3" xr3:uid="{4D4A485E-1D84-4467-9BAE-EA1B8A2D2309}" name="Txn Date" dataDxfId="263"/>
    <tableColumn id="4" xr3:uid="{105E11C8-3400-4B5A-93B6-3BAC061D5144}" name="Txn Type" dataDxfId="262"/>
    <tableColumn id="5" xr3:uid="{C9232254-1D21-45C4-9986-A225765F62E2}" name="Purchase QTY" dataDxfId="261" totalsRowDxfId="260" dataCellStyle="Comma"/>
    <tableColumn id="6" xr3:uid="{7DA22118-3046-4499-97BB-5E2838668A2A}" name="PPPU" dataDxfId="259" totalsRowDxfId="258" dataCellStyle="Comma">
      <calculatedColumnFormula>Table242830891013141516171812394243444546[[#This Row],[Total Purchase Amount]]/Table242830891013141516171812394243444546[[#This Row],[Purchase QTY]]</calculatedColumnFormula>
    </tableColumn>
    <tableColumn id="7" xr3:uid="{A4FBBFE2-F570-44FF-ABD6-A0F615B3E845}" name="Total Purchase Amount" dataDxfId="257" totalsRowDxfId="256" dataCellStyle="Comma"/>
    <tableColumn id="13" xr3:uid="{EAD12E66-8605-45C9-8E0E-390BAD17AE0D}" name="Sales Qty" dataDxfId="255" totalsRowDxfId="254" dataCellStyle="Comma"/>
    <tableColumn id="8" xr3:uid="{1EC5A9E4-832A-44FA-8402-48CEB977435B}" name="SPPU" dataDxfId="253" totalsRowDxfId="252" dataCellStyle="Comma">
      <calculatedColumnFormula>Table242830891013141516171812394243444546[[#This Row],[Sales Amt]]/Table242830891013141516171812394243444546[[#This Row],[Sales Qty]]</calculatedColumnFormula>
    </tableColumn>
    <tableColumn id="9" xr3:uid="{F0A6D238-5B69-46B9-9F88-244FD8D3215E}" name="Sales Amt" dataDxfId="251" totalsRowDxfId="250" dataCellStyle="Comma">
      <calculatedColumnFormula>Table242830891013141516171812394243444546[[#This Row],[Sales Qty]]*Table242830891013141516171812394243444546[[#This Row],[SPPU]]</calculatedColumnFormula>
    </tableColumn>
    <tableColumn id="28" xr3:uid="{7E1B9D91-19FD-4A19-ADD6-DA09CE91D475}" name="Principal Cost As per  NFRS (In case of Sales)" totalsRowFunction="sum" dataDxfId="249" totalsRowDxfId="248" dataCellStyle="Comma"/>
    <tableColumn id="27" xr3:uid="{54ECFA76-1065-4491-A5D2-3F618EEFB8E3}" name="TC AP NFRS" dataDxfId="247" totalsRowDxfId="246" dataCellStyle="Comma"/>
    <tableColumn id="24" xr3:uid="{10D8E586-B736-431D-A751-73AAB7412B05}" name="Unit Sum" dataDxfId="245" totalsRowDxfId="244" dataCellStyle="Comma"/>
    <tableColumn id="26" xr3:uid="{890E530A-503B-4A31-B620-297CB916E9AD}" name="WACC AP NFRS" dataDxfId="243" dataCellStyle="Comma">
      <calculatedColumnFormula>IFERROR(Table242830891013141516171812394243444546[[#This Row],[TC AP NFRS]]/Table242830891013141516171812394243444546[[#This Row],[Unit Sum]],0)</calculatedColumnFormula>
    </tableColumn>
    <tableColumn id="21" xr3:uid="{EA944597-D15D-498B-B892-CA310F300857}" name="P/L AP NFRS" totalsRowFunction="sum" dataDxfId="242" dataCellStyle="Comma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E1FA630-0BF9-45F8-A2F8-7AB196FBE418}" name="Table24283089101314151617181239424344454647" displayName="Table24283089101314151617181239424344454647" ref="A6:P17" headerRowDxfId="241" dataDxfId="239" totalsRowDxfId="237" headerRowBorderDxfId="240" tableBorderDxfId="238" totalsRowBorderDxfId="236">
  <tableColumns count="16">
    <tableColumn id="1" xr3:uid="{3FD83BF4-917F-410F-8250-31343BE1F1A7}" name="S.No" totalsRowLabel="Total" dataDxfId="235" totalsRowDxfId="234"/>
    <tableColumn id="2" xr3:uid="{A9A6C796-42DB-4BFB-AB4F-4563721043E7}" name="SYMBOL" dataDxfId="233" totalsRowDxfId="232"/>
    <tableColumn id="12" xr3:uid="{D56849C5-D599-43F9-AEE7-621969B1A04F}" name="Bill No" dataDxfId="231" totalsRowDxfId="230"/>
    <tableColumn id="3" xr3:uid="{EBD54BD5-1799-4F62-8B70-20036FDE6E64}" name="Txn Date" dataDxfId="229"/>
    <tableColumn id="4" xr3:uid="{ED49BA9E-F1B5-46E2-A6B7-D1CF3A644E4E}" name="Txn Type" dataDxfId="228"/>
    <tableColumn id="5" xr3:uid="{9C6D44F4-DBD5-4927-BECD-D24643FFF946}" name="Purchase QTY" dataDxfId="227" totalsRowDxfId="226" dataCellStyle="Comma"/>
    <tableColumn id="6" xr3:uid="{150E5956-861E-46C8-AAF0-35C35FDC36CA}" name="PPPU" dataDxfId="225" totalsRowDxfId="224" dataCellStyle="Comma">
      <calculatedColumnFormula>Table24283089101314151617181239424344454647[[#This Row],[Total Purchase Amount]]/Table24283089101314151617181239424344454647[[#This Row],[Purchase QTY]]</calculatedColumnFormula>
    </tableColumn>
    <tableColumn id="7" xr3:uid="{022E5105-B38A-4ED9-AD42-CC309126854A}" name="Total Purchase Amount" dataDxfId="223" totalsRowDxfId="222" dataCellStyle="Comma"/>
    <tableColumn id="13" xr3:uid="{35245219-12A2-4616-B39F-4D12AB259C21}" name="Sales Qty" dataDxfId="221" totalsRowDxfId="220" dataCellStyle="Comma"/>
    <tableColumn id="8" xr3:uid="{8353A311-CADB-4619-AF61-0755D443FD6B}" name="SPPU" dataDxfId="219" totalsRowDxfId="218" dataCellStyle="Comma">
      <calculatedColumnFormula>Table24283089101314151617181239424344454647[[#This Row],[Sales Amt]]/Table24283089101314151617181239424344454647[[#This Row],[Sales Qty]]</calculatedColumnFormula>
    </tableColumn>
    <tableColumn id="9" xr3:uid="{8281A3ED-8553-4EE2-BBBF-6B6DDD5C5D75}" name="Sales Amt" dataDxfId="217" totalsRowDxfId="216" dataCellStyle="Comma">
      <calculatedColumnFormula>Table24283089101314151617181239424344454647[[#This Row],[Sales Qty]]*Table24283089101314151617181239424344454647[[#This Row],[SPPU]]</calculatedColumnFormula>
    </tableColumn>
    <tableColumn id="28" xr3:uid="{8F025C59-77F1-47A3-A8F4-BAA130079F07}" name="Principal Cost As per  NFRS (In case of Sales)" totalsRowFunction="sum" dataDxfId="215" totalsRowDxfId="214" dataCellStyle="Comma"/>
    <tableColumn id="27" xr3:uid="{BFD1B3BB-ADEE-4D94-AF86-C78D7E38F69D}" name="TC AP NFRS" dataDxfId="213" totalsRowDxfId="212" dataCellStyle="Comma"/>
    <tableColumn id="24" xr3:uid="{780FC59A-2908-4CC6-B2B5-0A6D33F0E3A8}" name="Unit Sum" dataDxfId="211" totalsRowDxfId="210" dataCellStyle="Comma"/>
    <tableColumn id="26" xr3:uid="{25288F8B-7053-4CB0-8991-0AF7BBB4D945}" name="WACC AP NFRS" dataDxfId="209" dataCellStyle="Comma">
      <calculatedColumnFormula>IFERROR(Table24283089101314151617181239424344454647[[#This Row],[TC AP NFRS]]/Table24283089101314151617181239424344454647[[#This Row],[Unit Sum]],0)</calculatedColumnFormula>
    </tableColumn>
    <tableColumn id="21" xr3:uid="{45158A71-5F14-4FD0-8144-02CD39D73531}" name="P/L AP NFRS" totalsRowFunction="sum" dataDxfId="208" dataCellStyle="Comma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53BB7E74-DE7D-4F6B-9B25-85B29BAC4C82}" name="Table2428308910131415161718123942434445464748" displayName="Table2428308910131415161718123942434445464748" ref="A6:P17" headerRowDxfId="207" dataDxfId="205" totalsRowDxfId="203" headerRowBorderDxfId="206" tableBorderDxfId="204" totalsRowBorderDxfId="202">
  <tableColumns count="16">
    <tableColumn id="1" xr3:uid="{B05ABACE-6E59-4F55-9809-344729E197CD}" name="S.No" totalsRowLabel="Total" dataDxfId="201" totalsRowDxfId="200"/>
    <tableColumn id="2" xr3:uid="{D8818956-D98B-4EC2-BEF3-5A76A9C8DE3C}" name="SYMBOL" dataDxfId="199" totalsRowDxfId="198"/>
    <tableColumn id="12" xr3:uid="{B8A5A642-87C7-4EB6-AA44-60F59E8C7844}" name="Bill No" dataDxfId="197" totalsRowDxfId="196"/>
    <tableColumn id="3" xr3:uid="{2BFC4F93-4A2C-47EA-A905-48ADA6320BF9}" name="Txn Date" dataDxfId="195"/>
    <tableColumn id="4" xr3:uid="{6C54B7B0-FB71-4CED-91E0-FF66E45DD15E}" name="Txn Type" dataDxfId="194"/>
    <tableColumn id="5" xr3:uid="{49CCE8FD-21D1-4BB5-B8F0-DF75FE6E0891}" name="Purchase QTY" dataDxfId="193" totalsRowDxfId="192" dataCellStyle="Comma"/>
    <tableColumn id="6" xr3:uid="{BCA48D13-E151-4177-9CE3-2AAFEAAF08D7}" name="PPPU" dataDxfId="191" totalsRowDxfId="190" dataCellStyle="Comma">
      <calculatedColumnFormula>Table2428308910131415161718123942434445464748[[#This Row],[Total Purchase Amount]]/Table2428308910131415161718123942434445464748[[#This Row],[Purchase QTY]]</calculatedColumnFormula>
    </tableColumn>
    <tableColumn id="7" xr3:uid="{8410EAE5-5E58-4094-A4CB-CCF790D27244}" name="Total Purchase Amount" dataDxfId="189" totalsRowDxfId="188" dataCellStyle="Comma"/>
    <tableColumn id="13" xr3:uid="{DE2942C5-9D26-4595-AC05-EBC81C481460}" name="Sales Qty" dataDxfId="187" totalsRowDxfId="186" dataCellStyle="Comma"/>
    <tableColumn id="8" xr3:uid="{26954429-DA11-4709-9F59-9BD50DE847C2}" name="SPPU" dataDxfId="185" totalsRowDxfId="184" dataCellStyle="Comma">
      <calculatedColumnFormula>Table2428308910131415161718123942434445464748[[#This Row],[Sales Amt]]/Table2428308910131415161718123942434445464748[[#This Row],[Sales Qty]]</calculatedColumnFormula>
    </tableColumn>
    <tableColumn id="9" xr3:uid="{5B1E14D5-5ADB-4F7A-AADE-05467BDFF4C6}" name="Sales Amt" dataDxfId="183" totalsRowDxfId="182" dataCellStyle="Comma">
      <calculatedColumnFormula>Table2428308910131415161718123942434445464748[[#This Row],[Sales Qty]]*Table2428308910131415161718123942434445464748[[#This Row],[SPPU]]</calculatedColumnFormula>
    </tableColumn>
    <tableColumn id="28" xr3:uid="{4E790726-8D8F-4FE3-A33A-F722A27FE31C}" name="Principal Cost As per  NFRS (In case of Sales)" totalsRowFunction="sum" dataDxfId="181" totalsRowDxfId="180" dataCellStyle="Comma"/>
    <tableColumn id="27" xr3:uid="{4D2CDBE2-F074-493C-A2D4-E553438C6CC6}" name="TC AP NFRS" dataDxfId="179" totalsRowDxfId="178" dataCellStyle="Comma"/>
    <tableColumn id="24" xr3:uid="{B243ECAC-70A2-4730-BAB0-F7369FC38DFA}" name="Unit Sum" dataDxfId="177" totalsRowDxfId="176" dataCellStyle="Comma"/>
    <tableColumn id="26" xr3:uid="{8DD52514-D122-4E67-8BFE-7CDF4404366B}" name="WACC AP NFRS" dataDxfId="175" dataCellStyle="Comma">
      <calculatedColumnFormula>IFERROR(Table2428308910131415161718123942434445464748[[#This Row],[TC AP NFRS]]/Table2428308910131415161718123942434445464748[[#This Row],[Unit Sum]],0)</calculatedColumnFormula>
    </tableColumn>
    <tableColumn id="21" xr3:uid="{32745FC9-023C-4F02-9306-A223175E309C}" name="P/L AP NFRS" totalsRowFunction="sum" dataDxfId="174" dataCellStyle="Comma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136A23B-A374-4047-81F6-84F06399EE47}" name="Table242830891013141516171812394243444546474849" displayName="Table242830891013141516171812394243444546474849" ref="A6:P17" headerRowDxfId="173" dataDxfId="171" totalsRowDxfId="169" headerRowBorderDxfId="172" tableBorderDxfId="170" totalsRowBorderDxfId="168">
  <tableColumns count="16">
    <tableColumn id="1" xr3:uid="{9F36EBFF-2785-41E0-8043-77B3A0DF9B8B}" name="S.No" totalsRowLabel="Total" dataDxfId="167" totalsRowDxfId="166"/>
    <tableColumn id="2" xr3:uid="{55EE488C-A4C5-417A-B2F0-77F99F0ECE2D}" name="SYMBOL" dataDxfId="165" totalsRowDxfId="164"/>
    <tableColumn id="12" xr3:uid="{E6BD723B-E7B6-4083-BB09-3E6DF9A0DE9E}" name="Bill No" dataDxfId="163" totalsRowDxfId="162"/>
    <tableColumn id="3" xr3:uid="{F99AD829-602F-455B-9C07-906F5ACC9E14}" name="Txn Date" dataDxfId="161"/>
    <tableColumn id="4" xr3:uid="{87CEA9D2-93D6-4FF4-9C74-5D727E34CF58}" name="Txn Type" dataDxfId="160"/>
    <tableColumn id="5" xr3:uid="{C5867C99-1C1E-4C11-BC7B-71F2BC26DA83}" name="Purchase QTY" dataDxfId="159" totalsRowDxfId="158" dataCellStyle="Comma"/>
    <tableColumn id="6" xr3:uid="{8F6C250B-A8D4-4B12-B10A-30192A381E33}" name="PPPU" dataDxfId="157" totalsRowDxfId="156" dataCellStyle="Comma">
      <calculatedColumnFormula>Table242830891013141516171812394243444546474849[[#This Row],[Total Purchase Amount]]/Table242830891013141516171812394243444546474849[[#This Row],[Purchase QTY]]</calculatedColumnFormula>
    </tableColumn>
    <tableColumn id="7" xr3:uid="{C0899D1F-DED6-42EA-84D3-105CED991E0C}" name="Total Purchase Amount" dataDxfId="155" totalsRowDxfId="154" dataCellStyle="Comma"/>
    <tableColumn id="13" xr3:uid="{3F6746FA-A7A6-402A-AB52-746F5140C9AE}" name="Sales Qty" dataDxfId="153" totalsRowDxfId="152" dataCellStyle="Comma"/>
    <tableColumn id="8" xr3:uid="{FC0E3A7B-1676-4F83-9EF1-058210B60EAD}" name="SPPU" dataDxfId="151" totalsRowDxfId="150" dataCellStyle="Comma">
      <calculatedColumnFormula>Table242830891013141516171812394243444546474849[[#This Row],[Sales Amt]]/Table242830891013141516171812394243444546474849[[#This Row],[Sales Qty]]</calculatedColumnFormula>
    </tableColumn>
    <tableColumn id="9" xr3:uid="{8775A756-1351-400B-BCDF-2F5C2EE5DB16}" name="Sales Amt" dataDxfId="149" totalsRowDxfId="148" dataCellStyle="Comma">
      <calculatedColumnFormula>Table242830891013141516171812394243444546474849[[#This Row],[Sales Qty]]*Table242830891013141516171812394243444546474849[[#This Row],[SPPU]]</calculatedColumnFormula>
    </tableColumn>
    <tableColumn id="28" xr3:uid="{5E70ED7A-ED51-44DC-B127-0E265540D841}" name="Principal Cost As per  NFRS (In case of Sales)" totalsRowFunction="sum" dataDxfId="147" totalsRowDxfId="146" dataCellStyle="Comma"/>
    <tableColumn id="27" xr3:uid="{92ED2EA2-35F0-49E0-9016-90DB743DC533}" name="TC AP NFRS" dataDxfId="145" totalsRowDxfId="144" dataCellStyle="Comma"/>
    <tableColumn id="24" xr3:uid="{F5FEECD9-2C45-4DEC-B6D0-502F5A84170D}" name="Unit Sum" dataDxfId="143" totalsRowDxfId="142" dataCellStyle="Comma"/>
    <tableColumn id="26" xr3:uid="{40DB6E0F-E184-4F2F-AF2A-D324E2562255}" name="WACC AP NFRS" dataDxfId="141" dataCellStyle="Comma">
      <calculatedColumnFormula>IFERROR(Table242830891013141516171812394243444546474849[[#This Row],[TC AP NFRS]]/Table242830891013141516171812394243444546474849[[#This Row],[Unit Sum]],0)</calculatedColumnFormula>
    </tableColumn>
    <tableColumn id="21" xr3:uid="{9ED4C5C2-DD0D-49F5-B8EA-A8D76DBD5A9E}" name="P/L AP NFRS" totalsRowFunction="sum" dataDxfId="140" dataCellStyle="Comma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58A0BCE-CD2F-4868-B6F9-C4A05C160E1D}" name="Table24283089101314151617181239424344454647484950" displayName="Table24283089101314151617181239424344454647484950" ref="A6:P17" headerRowDxfId="139" dataDxfId="137" totalsRowDxfId="135" headerRowBorderDxfId="138" tableBorderDxfId="136" totalsRowBorderDxfId="134">
  <tableColumns count="16">
    <tableColumn id="1" xr3:uid="{19B9FA43-9BBC-44D5-B034-F90436ACA76A}" name="S.No" totalsRowLabel="Total" dataDxfId="133" totalsRowDxfId="132"/>
    <tableColumn id="2" xr3:uid="{CD86D845-AB37-4C83-B711-458E16714B12}" name="SYMBOL" dataDxfId="131" totalsRowDxfId="130"/>
    <tableColumn id="12" xr3:uid="{B16CEB91-EC4C-4C08-9555-6C4785685E97}" name="Bill No" dataDxfId="129" totalsRowDxfId="128"/>
    <tableColumn id="3" xr3:uid="{24715558-F9C2-4CCD-9A29-754CA98FC1E2}" name="Txn Date" dataDxfId="127"/>
    <tableColumn id="4" xr3:uid="{8CCF70F4-476A-4BC8-95F5-84E2C707F94C}" name="Txn Type" dataDxfId="126"/>
    <tableColumn id="5" xr3:uid="{171D1A33-9E35-49D7-96D3-D9CC051E16BF}" name="Purchase QTY" dataDxfId="125" totalsRowDxfId="124" dataCellStyle="Comma"/>
    <tableColumn id="6" xr3:uid="{64467DEC-B715-4BD8-8907-57DB32272B8A}" name="PPPU" dataDxfId="123" totalsRowDxfId="122" dataCellStyle="Comma">
      <calculatedColumnFormula>Table24283089101314151617181239424344454647484950[[#This Row],[Total Purchase Amount]]/Table24283089101314151617181239424344454647484950[[#This Row],[Purchase QTY]]</calculatedColumnFormula>
    </tableColumn>
    <tableColumn id="7" xr3:uid="{1EB1637B-9027-477A-9430-6757F0F7A9CB}" name="Total Purchase Amount" dataDxfId="121" totalsRowDxfId="120" dataCellStyle="Comma"/>
    <tableColumn id="13" xr3:uid="{386E6EFB-8954-4AEA-84EF-F90FF24581DB}" name="Sales Qty" dataDxfId="119" totalsRowDxfId="118" dataCellStyle="Comma"/>
    <tableColumn id="8" xr3:uid="{973C31D0-F860-48D1-9A26-39CF965EAEB5}" name="SPPU" dataDxfId="117" totalsRowDxfId="116" dataCellStyle="Comma">
      <calculatedColumnFormula>Table24283089101314151617181239424344454647484950[[#This Row],[Sales Amt]]/Table24283089101314151617181239424344454647484950[[#This Row],[Sales Qty]]</calculatedColumnFormula>
    </tableColumn>
    <tableColumn id="9" xr3:uid="{299345DA-2526-437C-9C85-59CD5810488B}" name="Sales Amt" dataDxfId="115" totalsRowDxfId="114" dataCellStyle="Comma">
      <calculatedColumnFormula>Table24283089101314151617181239424344454647484950[[#This Row],[Sales Qty]]*Table24283089101314151617181239424344454647484950[[#This Row],[SPPU]]</calculatedColumnFormula>
    </tableColumn>
    <tableColumn id="28" xr3:uid="{D839AE32-9357-4EB6-A56F-9355F48A3057}" name="Principal Cost As per  NFRS (In case of Sales)" totalsRowFunction="sum" dataDxfId="113" totalsRowDxfId="112" dataCellStyle="Comma"/>
    <tableColumn id="27" xr3:uid="{5BF40B90-54D2-468F-B0B7-4C837DC08606}" name="TC AP NFRS" dataDxfId="111" totalsRowDxfId="110" dataCellStyle="Comma"/>
    <tableColumn id="24" xr3:uid="{BE1F8899-34CF-42AF-AB93-B42C8BAA0806}" name="Unit Sum" dataDxfId="109" totalsRowDxfId="108" dataCellStyle="Comma"/>
    <tableColumn id="26" xr3:uid="{0243227B-D499-427C-AD81-F579CF4E4646}" name="WACC AP NFRS" dataDxfId="107" dataCellStyle="Comma">
      <calculatedColumnFormula>IFERROR(Table24283089101314151617181239424344454647484950[[#This Row],[TC AP NFRS]]/Table24283089101314151617181239424344454647484950[[#This Row],[Unit Sum]],0)</calculatedColumnFormula>
    </tableColumn>
    <tableColumn id="21" xr3:uid="{21ACDC6E-10E2-4352-B801-48545DAAAC77}" name="P/L AP NFRS" totalsRowFunction="sum" dataDxfId="106" dataCellStyle="Comma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5BC0B3B-A526-47FC-A418-04186AA87E53}" name="Table2428308910131415161718123942434445464748495051" displayName="Table2428308910131415161718123942434445464748495051" ref="A6:P17" headerRowDxfId="105" dataDxfId="103" totalsRowDxfId="101" headerRowBorderDxfId="104" tableBorderDxfId="102" totalsRowBorderDxfId="100">
  <tableColumns count="16">
    <tableColumn id="1" xr3:uid="{0A4E9AF2-694C-4512-9E41-5190992AEB97}" name="S.No" totalsRowLabel="Total" dataDxfId="99" totalsRowDxfId="98"/>
    <tableColumn id="2" xr3:uid="{5B24796D-7C08-4E8D-BBC6-8A9336DA1A24}" name="SYMBOL" dataDxfId="97" totalsRowDxfId="96"/>
    <tableColumn id="12" xr3:uid="{BEF93B2A-651A-4806-A467-BCB690819F00}" name="Bill No" dataDxfId="95" totalsRowDxfId="94"/>
    <tableColumn id="3" xr3:uid="{DA375E6E-628A-4125-89DA-520F6D23B837}" name="Txn Date" dataDxfId="93"/>
    <tableColumn id="4" xr3:uid="{3F3B667A-803F-4504-80EF-7D47D67C5C8C}" name="Txn Type" dataDxfId="92"/>
    <tableColumn id="5" xr3:uid="{874666A6-1B2C-4CC8-A325-7104B521A132}" name="Purchase QTY" dataDxfId="91" totalsRowDxfId="90" dataCellStyle="Comma"/>
    <tableColumn id="6" xr3:uid="{41A9DC6A-A93B-4544-9FCB-940261806976}" name="PPPU" dataDxfId="89" totalsRowDxfId="88" dataCellStyle="Comma">
      <calculatedColumnFormula>Table2428308910131415161718123942434445464748495051[[#This Row],[Total Purchase Amount]]/Table2428308910131415161718123942434445464748495051[[#This Row],[Purchase QTY]]</calculatedColumnFormula>
    </tableColumn>
    <tableColumn id="7" xr3:uid="{CC146EB8-F6D6-4E5C-A807-9B0FCCB9A04E}" name="Total Purchase Amount" dataDxfId="87" totalsRowDxfId="86" dataCellStyle="Comma"/>
    <tableColumn id="13" xr3:uid="{D5335776-4A79-41ED-8578-16D1F6C2D94D}" name="Sales Qty" dataDxfId="85" totalsRowDxfId="84" dataCellStyle="Comma"/>
    <tableColumn id="8" xr3:uid="{FC445F9B-C285-4439-AF18-7D85ECF41E21}" name="SPPU" dataDxfId="83" totalsRowDxfId="82" dataCellStyle="Comma">
      <calculatedColumnFormula>Table2428308910131415161718123942434445464748495051[[#This Row],[Sales Amt]]/Table2428308910131415161718123942434445464748495051[[#This Row],[Sales Qty]]</calculatedColumnFormula>
    </tableColumn>
    <tableColumn id="9" xr3:uid="{474CE23C-5B73-4B56-BF87-2E95B311E29F}" name="Sales Amt" dataDxfId="81" totalsRowDxfId="80" dataCellStyle="Comma">
      <calculatedColumnFormula>Table2428308910131415161718123942434445464748495051[[#This Row],[Sales Qty]]*Table2428308910131415161718123942434445464748495051[[#This Row],[SPPU]]</calculatedColumnFormula>
    </tableColumn>
    <tableColumn id="28" xr3:uid="{6172236C-81E6-46CF-870A-9A4E25D87A33}" name="Principal Cost As per  NFRS (In case of Sales)" totalsRowFunction="sum" dataDxfId="79" totalsRowDxfId="78" dataCellStyle="Comma"/>
    <tableColumn id="27" xr3:uid="{F45EAF85-8C4A-4797-9FDF-75DD81C6E32B}" name="TC AP NFRS" dataDxfId="77" totalsRowDxfId="76" dataCellStyle="Comma"/>
    <tableColumn id="24" xr3:uid="{83EBC144-2DD8-427B-83BA-E55AF8FECD29}" name="Unit Sum" dataDxfId="75" totalsRowDxfId="74" dataCellStyle="Comma"/>
    <tableColumn id="26" xr3:uid="{A8D54F18-6413-44A4-BDAE-A6D2248DF063}" name="WACC AP NFRS" dataDxfId="73" dataCellStyle="Comma">
      <calculatedColumnFormula>IFERROR(Table2428308910131415161718123942434445464748495051[[#This Row],[TC AP NFRS]]/Table2428308910131415161718123942434445464748495051[[#This Row],[Unit Sum]],0)</calculatedColumnFormula>
    </tableColumn>
    <tableColumn id="21" xr3:uid="{0C2B4F7C-6B8E-4C3B-A48E-EA2F9BB02A70}" name="P/L AP NFRS" totalsRowFunction="sum" dataDxfId="72" dataCellStyle="Comma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A69679FF-D4A7-4211-ABE7-D16AD8BEAF17}" name="Table242830891013141516171812394243444546474849505152" displayName="Table242830891013141516171812394243444546474849505152" ref="A6:P17" headerRowDxfId="71" dataDxfId="69" totalsRowDxfId="67" headerRowBorderDxfId="70" tableBorderDxfId="68" totalsRowBorderDxfId="66">
  <tableColumns count="16">
    <tableColumn id="1" xr3:uid="{76E412C6-2254-439A-8266-BE052B203913}" name="S.No" totalsRowLabel="Total" dataDxfId="65" totalsRowDxfId="64"/>
    <tableColumn id="2" xr3:uid="{DFBFA1FA-5BA0-4F9F-9FA3-E768FB6DD6F6}" name="SYMBOL" dataDxfId="63" totalsRowDxfId="62"/>
    <tableColumn id="12" xr3:uid="{10390F18-A19D-4B81-AFAF-A8AE3DCC14A6}" name="Bill No" dataDxfId="61" totalsRowDxfId="60"/>
    <tableColumn id="3" xr3:uid="{F24BA8CE-2AEC-4321-AD01-29ABB9129459}" name="Txn Date" dataDxfId="59"/>
    <tableColumn id="4" xr3:uid="{045EE06D-223B-4D81-A133-0C4C42A3F7A5}" name="Txn Type" dataDxfId="58"/>
    <tableColumn id="5" xr3:uid="{7802A2FD-CED7-4444-BD83-532BDC8862F2}" name="Purchase QTY" dataDxfId="57" totalsRowDxfId="56" dataCellStyle="Comma"/>
    <tableColumn id="6" xr3:uid="{06B5DF93-E101-42BE-BC36-3B752E0EC564}" name="PPPU" dataDxfId="55" totalsRowDxfId="54" dataCellStyle="Comma">
      <calculatedColumnFormula>Table242830891013141516171812394243444546474849505152[[#This Row],[Total Purchase Amount]]/Table242830891013141516171812394243444546474849505152[[#This Row],[Purchase QTY]]</calculatedColumnFormula>
    </tableColumn>
    <tableColumn id="7" xr3:uid="{382C2147-BC39-49C9-B69F-961A2A6CCC09}" name="Total Purchase Amount" dataDxfId="53" totalsRowDxfId="52" dataCellStyle="Comma"/>
    <tableColumn id="13" xr3:uid="{59C637F3-6C32-4D48-80BD-D77FEFD938DF}" name="Sales Qty" dataDxfId="51" totalsRowDxfId="50" dataCellStyle="Comma"/>
    <tableColumn id="8" xr3:uid="{B94CE489-43EF-4CF4-95BA-D681C97E48CD}" name="SPPU" dataDxfId="49" totalsRowDxfId="48" dataCellStyle="Comma">
      <calculatedColumnFormula>Table242830891013141516171812394243444546474849505152[[#This Row],[Sales Amt]]/Table242830891013141516171812394243444546474849505152[[#This Row],[Sales Qty]]</calculatedColumnFormula>
    </tableColumn>
    <tableColumn id="9" xr3:uid="{940EC57B-B7EB-4DEF-9F04-8C6BC51ED855}" name="Sales Amt" dataDxfId="47" totalsRowDxfId="46" dataCellStyle="Comma">
      <calculatedColumnFormula>Table242830891013141516171812394243444546474849505152[[#This Row],[Sales Qty]]*Table242830891013141516171812394243444546474849505152[[#This Row],[SPPU]]</calculatedColumnFormula>
    </tableColumn>
    <tableColumn id="28" xr3:uid="{E910A1D0-AF01-4C79-8C59-6A906829725F}" name="Principal Cost As per  NFRS (In case of Sales)" totalsRowFunction="sum" dataDxfId="45" totalsRowDxfId="44" dataCellStyle="Comma"/>
    <tableColumn id="27" xr3:uid="{EEA753D1-6E62-448E-8BCB-E69CF324814A}" name="TC AP NFRS" dataDxfId="43" totalsRowDxfId="42" dataCellStyle="Comma"/>
    <tableColumn id="24" xr3:uid="{9CB06347-7AE4-4F07-9E09-5A6D17E7CEFC}" name="Unit Sum" dataDxfId="41" totalsRowDxfId="40" dataCellStyle="Comma"/>
    <tableColumn id="26" xr3:uid="{00C5E5C3-0C5E-441C-B8BA-7CFED5D86759}" name="WACC AP NFRS" dataDxfId="39" dataCellStyle="Comma">
      <calculatedColumnFormula>IFERROR(Table242830891013141516171812394243444546474849505152[[#This Row],[TC AP NFRS]]/Table242830891013141516171812394243444546474849505152[[#This Row],[Unit Sum]],0)</calculatedColumnFormula>
    </tableColumn>
    <tableColumn id="21" xr3:uid="{BA8B5538-17F0-49FF-B8B4-ABA2CA1D02D9}" name="P/L AP NFRS" totalsRowFunction="sum" dataDxfId="38" dataCellStyle="Comma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DE5F0E5A-0AE8-4B7F-A3EF-3BBAF2835BB2}" name="Table24283089101314151617181239424344454647484950515253" displayName="Table24283089101314151617181239424344454647484950515253" ref="A6:P17" headerRowDxfId="37" dataDxfId="35" totalsRowDxfId="33" headerRowBorderDxfId="36" tableBorderDxfId="34" totalsRowBorderDxfId="32">
  <tableColumns count="16">
    <tableColumn id="1" xr3:uid="{C77062C1-8701-416D-A7C6-86113A49ACE7}" name="S.No" totalsRowLabel="Total" dataDxfId="31" totalsRowDxfId="30"/>
    <tableColumn id="2" xr3:uid="{ACBEA7CC-08B3-4F90-9DD2-7E3FAADF1344}" name="SYMBOL" dataDxfId="29" totalsRowDxfId="28"/>
    <tableColumn id="12" xr3:uid="{D55AD1E9-5C24-45A2-98FA-453C186FAEBF}" name="Bill No" dataDxfId="27" totalsRowDxfId="26"/>
    <tableColumn id="3" xr3:uid="{D46CBF8F-60CF-40B0-8A8F-990EF77B746C}" name="Txn Date" dataDxfId="25"/>
    <tableColumn id="4" xr3:uid="{C3756437-D12D-4B28-AB11-E2F615EEEEC8}" name="Txn Type" dataDxfId="24"/>
    <tableColumn id="5" xr3:uid="{7619748E-6AA2-409E-8819-044B320699C1}" name="Purchase QTY" dataDxfId="23" totalsRowDxfId="22" dataCellStyle="Comma"/>
    <tableColumn id="6" xr3:uid="{45294253-9A84-4AFA-8D95-04E526FB4711}" name="PPPU" dataDxfId="21" totalsRowDxfId="20" dataCellStyle="Comma">
      <calculatedColumnFormula>Table24283089101314151617181239424344454647484950515253[[#This Row],[Total Purchase Amount]]/Table24283089101314151617181239424344454647484950515253[[#This Row],[Purchase QTY]]</calculatedColumnFormula>
    </tableColumn>
    <tableColumn id="7" xr3:uid="{A3015CD9-E497-42F1-9786-10F68DBEB9E9}" name="Total Purchase Amount" dataDxfId="19" totalsRowDxfId="18" dataCellStyle="Comma"/>
    <tableColumn id="13" xr3:uid="{101D333A-5DF1-46EF-8B0C-A7028F4CDBAD}" name="Sales Qty" dataDxfId="17" totalsRowDxfId="16" dataCellStyle="Comma"/>
    <tableColumn id="8" xr3:uid="{033CE3CE-91B7-498E-A734-21BC28C2D94C}" name="SPPU" dataDxfId="15" totalsRowDxfId="14" dataCellStyle="Comma">
      <calculatedColumnFormula>Table24283089101314151617181239424344454647484950515253[[#This Row],[Sales Amt]]/Table24283089101314151617181239424344454647484950515253[[#This Row],[Sales Qty]]</calculatedColumnFormula>
    </tableColumn>
    <tableColumn id="9" xr3:uid="{A6C576CB-A7CD-432F-88A3-B3F0A5EFE7B7}" name="Sales Amt" dataDxfId="13" totalsRowDxfId="12" dataCellStyle="Comma">
      <calculatedColumnFormula>Table24283089101314151617181239424344454647484950515253[[#This Row],[Sales Qty]]*Table24283089101314151617181239424344454647484950515253[[#This Row],[SPPU]]</calculatedColumnFormula>
    </tableColumn>
    <tableColumn id="28" xr3:uid="{F78B27DB-5CED-4D49-864D-5E20B0800047}" name="Principal Cost As per  NFRS (In case of Sales)" totalsRowFunction="sum" dataDxfId="11" totalsRowDxfId="10" dataCellStyle="Comma"/>
    <tableColumn id="27" xr3:uid="{288E2BD6-4B9C-414C-9531-BBA58C874C8B}" name="TC AP NFRS" dataDxfId="9" totalsRowDxfId="8" dataCellStyle="Comma"/>
    <tableColumn id="24" xr3:uid="{790F8A32-C482-4527-9E98-74DD9A5C2846}" name="Unit Sum" dataDxfId="7" totalsRowDxfId="6" dataCellStyle="Comma"/>
    <tableColumn id="26" xr3:uid="{1BA3E5F8-4649-487F-8493-F5B9BE8E8278}" name="WACC AP NFRS" dataDxfId="5" dataCellStyle="Comma">
      <calculatedColumnFormula>IFERROR(Table24283089101314151617181239424344454647484950515253[[#This Row],[TC AP NFRS]]/Table24283089101314151617181239424344454647484950515253[[#This Row],[Unit Sum]],0)</calculatedColumnFormula>
    </tableColumn>
    <tableColumn id="21" xr3:uid="{D759D944-0BB4-4E9C-A6E0-EBE02CA1786E}" name="P/L AP NFRS" totalsRowFunction="sum" dataDxfId="4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Relationship Id="rId5" Type="http://schemas.openxmlformats.org/officeDocument/2006/relationships/comments" Target="../comments3.xml"/><Relationship Id="rId4" Type="http://schemas.openxmlformats.org/officeDocument/2006/relationships/table" Target="../tables/table27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32.xml"/><Relationship Id="rId1" Type="http://schemas.openxmlformats.org/officeDocument/2006/relationships/vmlDrawing" Target="../drawings/vmlDrawing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1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19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20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21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5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6.x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24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25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26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27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28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29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30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31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32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33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34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printerSettings" Target="../printerSettings/printerSettings35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36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37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printerSettings" Target="../printerSettings/printerSettings38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AF6B0-B88A-480B-A524-6E996195514C}">
  <dimension ref="A1:G362"/>
  <sheetViews>
    <sheetView showGridLines="0" view="pageBreakPreview" topLeftCell="A334" zoomScaleNormal="100" zoomScaleSheetLayoutView="100" workbookViewId="0">
      <selection activeCell="E1048576" sqref="E1048576"/>
    </sheetView>
  </sheetViews>
  <sheetFormatPr defaultRowHeight="15" x14ac:dyDescent="0.25"/>
  <cols>
    <col min="1" max="1" width="4.42578125" bestFit="1" customWidth="1"/>
    <col min="2" max="2" width="13.85546875" bestFit="1" customWidth="1"/>
    <col min="3" max="3" width="55.42578125" bestFit="1" customWidth="1"/>
    <col min="4" max="4" width="13.85546875" bestFit="1" customWidth="1"/>
    <col min="5" max="5" width="20.140625" bestFit="1" customWidth="1"/>
    <col min="6" max="6" width="13.85546875" bestFit="1" customWidth="1"/>
    <col min="7" max="7" width="27.28515625" bestFit="1" customWidth="1"/>
  </cols>
  <sheetData>
    <row r="1" spans="1:7" x14ac:dyDescent="0.25">
      <c r="A1" s="68" t="s">
        <v>180</v>
      </c>
      <c r="B1" s="69" t="s">
        <v>0</v>
      </c>
      <c r="C1" s="69" t="s">
        <v>181</v>
      </c>
      <c r="D1" s="69" t="s">
        <v>182</v>
      </c>
      <c r="E1" s="69" t="s">
        <v>183</v>
      </c>
      <c r="F1" s="70" t="s">
        <v>184</v>
      </c>
      <c r="G1" s="70" t="s">
        <v>185</v>
      </c>
    </row>
    <row r="2" spans="1:7" x14ac:dyDescent="0.25">
      <c r="A2" s="71">
        <v>1</v>
      </c>
      <c r="B2" s="72" t="s">
        <v>186</v>
      </c>
      <c r="C2" s="72" t="s">
        <v>187</v>
      </c>
      <c r="D2" s="72" t="s">
        <v>186</v>
      </c>
      <c r="E2" s="72" t="s">
        <v>30</v>
      </c>
      <c r="F2" s="73" t="s">
        <v>186</v>
      </c>
      <c r="G2" s="73" t="s">
        <v>188</v>
      </c>
    </row>
    <row r="3" spans="1:7" x14ac:dyDescent="0.25">
      <c r="A3" s="71">
        <v>2</v>
      </c>
      <c r="B3" s="72" t="s">
        <v>189</v>
      </c>
      <c r="C3" s="72" t="s">
        <v>190</v>
      </c>
      <c r="D3" s="72" t="s">
        <v>189</v>
      </c>
      <c r="E3" s="72" t="s">
        <v>30</v>
      </c>
      <c r="F3" s="73" t="s">
        <v>189</v>
      </c>
      <c r="G3" s="73" t="s">
        <v>188</v>
      </c>
    </row>
    <row r="4" spans="1:7" x14ac:dyDescent="0.25">
      <c r="A4" s="71">
        <v>3</v>
      </c>
      <c r="B4" s="72" t="s">
        <v>173</v>
      </c>
      <c r="C4" s="72" t="s">
        <v>191</v>
      </c>
      <c r="D4" s="72" t="s">
        <v>173</v>
      </c>
      <c r="E4" s="72" t="s">
        <v>30</v>
      </c>
      <c r="F4" s="73" t="s">
        <v>173</v>
      </c>
      <c r="G4" s="73" t="s">
        <v>188</v>
      </c>
    </row>
    <row r="5" spans="1:7" x14ac:dyDescent="0.25">
      <c r="A5" s="71">
        <v>4</v>
      </c>
      <c r="B5" s="72" t="s">
        <v>192</v>
      </c>
      <c r="C5" s="72" t="s">
        <v>193</v>
      </c>
      <c r="D5" s="72" t="s">
        <v>192</v>
      </c>
      <c r="E5" s="72" t="s">
        <v>30</v>
      </c>
      <c r="F5" s="73" t="s">
        <v>192</v>
      </c>
      <c r="G5" s="73" t="s">
        <v>188</v>
      </c>
    </row>
    <row r="6" spans="1:7" x14ac:dyDescent="0.25">
      <c r="A6" s="71">
        <v>5</v>
      </c>
      <c r="B6" s="72" t="s">
        <v>82</v>
      </c>
      <c r="C6" s="72" t="s">
        <v>194</v>
      </c>
      <c r="D6" s="72" t="s">
        <v>82</v>
      </c>
      <c r="E6" s="72" t="s">
        <v>30</v>
      </c>
      <c r="F6" s="73" t="s">
        <v>82</v>
      </c>
      <c r="G6" s="73" t="s">
        <v>188</v>
      </c>
    </row>
    <row r="7" spans="1:7" x14ac:dyDescent="0.25">
      <c r="A7" s="71">
        <v>6</v>
      </c>
      <c r="B7" s="72" t="s">
        <v>195</v>
      </c>
      <c r="C7" s="72" t="s">
        <v>196</v>
      </c>
      <c r="D7" s="72" t="s">
        <v>195</v>
      </c>
      <c r="E7" s="72" t="s">
        <v>30</v>
      </c>
      <c r="F7" s="73" t="s">
        <v>195</v>
      </c>
      <c r="G7" s="73" t="s">
        <v>188</v>
      </c>
    </row>
    <row r="8" spans="1:7" x14ac:dyDescent="0.25">
      <c r="A8" s="71">
        <v>7</v>
      </c>
      <c r="B8" s="72" t="s">
        <v>197</v>
      </c>
      <c r="C8" s="72" t="s">
        <v>198</v>
      </c>
      <c r="D8" s="72" t="s">
        <v>197</v>
      </c>
      <c r="E8" s="72" t="s">
        <v>30</v>
      </c>
      <c r="F8" s="73" t="s">
        <v>197</v>
      </c>
      <c r="G8" s="73" t="s">
        <v>188</v>
      </c>
    </row>
    <row r="9" spans="1:7" x14ac:dyDescent="0.25">
      <c r="A9" s="71">
        <v>8</v>
      </c>
      <c r="B9" s="72" t="s">
        <v>199</v>
      </c>
      <c r="C9" s="72" t="s">
        <v>200</v>
      </c>
      <c r="D9" s="72" t="s">
        <v>199</v>
      </c>
      <c r="E9" s="72" t="s">
        <v>30</v>
      </c>
      <c r="F9" s="73" t="s">
        <v>199</v>
      </c>
      <c r="G9" s="73" t="s">
        <v>188</v>
      </c>
    </row>
    <row r="10" spans="1:7" x14ac:dyDescent="0.25">
      <c r="A10" s="71">
        <v>9</v>
      </c>
      <c r="B10" s="72" t="s">
        <v>201</v>
      </c>
      <c r="C10" s="72" t="s">
        <v>202</v>
      </c>
      <c r="D10" s="72" t="s">
        <v>201</v>
      </c>
      <c r="E10" s="72" t="s">
        <v>30</v>
      </c>
      <c r="F10" s="73" t="s">
        <v>201</v>
      </c>
      <c r="G10" s="73" t="s">
        <v>188</v>
      </c>
    </row>
    <row r="11" spans="1:7" x14ac:dyDescent="0.25">
      <c r="A11" s="71">
        <v>10</v>
      </c>
      <c r="B11" s="72" t="s">
        <v>203</v>
      </c>
      <c r="C11" s="72" t="s">
        <v>204</v>
      </c>
      <c r="D11" s="72" t="s">
        <v>203</v>
      </c>
      <c r="E11" s="72" t="s">
        <v>30</v>
      </c>
      <c r="F11" s="73" t="s">
        <v>203</v>
      </c>
      <c r="G11" s="73" t="s">
        <v>188</v>
      </c>
    </row>
    <row r="12" spans="1:7" x14ac:dyDescent="0.25">
      <c r="A12" s="71">
        <v>11</v>
      </c>
      <c r="B12" s="72" t="s">
        <v>205</v>
      </c>
      <c r="C12" s="72" t="s">
        <v>206</v>
      </c>
      <c r="D12" s="72" t="s">
        <v>205</v>
      </c>
      <c r="E12" s="72" t="s">
        <v>30</v>
      </c>
      <c r="F12" s="73" t="s">
        <v>205</v>
      </c>
      <c r="G12" s="73" t="s">
        <v>188</v>
      </c>
    </row>
    <row r="13" spans="1:7" x14ac:dyDescent="0.25">
      <c r="A13" s="71">
        <v>12</v>
      </c>
      <c r="B13" s="72" t="s">
        <v>161</v>
      </c>
      <c r="C13" s="72" t="s">
        <v>207</v>
      </c>
      <c r="D13" s="72" t="s">
        <v>161</v>
      </c>
      <c r="E13" s="72" t="s">
        <v>33</v>
      </c>
      <c r="F13" s="73" t="s">
        <v>161</v>
      </c>
      <c r="G13" s="73" t="s">
        <v>188</v>
      </c>
    </row>
    <row r="14" spans="1:7" x14ac:dyDescent="0.25">
      <c r="A14" s="71">
        <v>13</v>
      </c>
      <c r="B14" s="72" t="s">
        <v>208</v>
      </c>
      <c r="C14" s="72" t="s">
        <v>209</v>
      </c>
      <c r="D14" s="72" t="s">
        <v>208</v>
      </c>
      <c r="E14" s="72" t="s">
        <v>33</v>
      </c>
      <c r="F14" s="73" t="s">
        <v>208</v>
      </c>
      <c r="G14" s="73" t="s">
        <v>188</v>
      </c>
    </row>
    <row r="15" spans="1:7" x14ac:dyDescent="0.25">
      <c r="A15" s="71">
        <v>14</v>
      </c>
      <c r="B15" s="72" t="s">
        <v>210</v>
      </c>
      <c r="C15" s="72" t="s">
        <v>211</v>
      </c>
      <c r="D15" s="72" t="s">
        <v>210</v>
      </c>
      <c r="E15" s="72" t="s">
        <v>33</v>
      </c>
      <c r="F15" s="73" t="s">
        <v>210</v>
      </c>
      <c r="G15" s="73" t="s">
        <v>188</v>
      </c>
    </row>
    <row r="16" spans="1:7" x14ac:dyDescent="0.25">
      <c r="A16" s="71">
        <v>15</v>
      </c>
      <c r="B16" s="72" t="s">
        <v>212</v>
      </c>
      <c r="C16" s="72" t="s">
        <v>213</v>
      </c>
      <c r="D16" s="72" t="s">
        <v>212</v>
      </c>
      <c r="E16" s="72" t="s">
        <v>35</v>
      </c>
      <c r="F16" s="73" t="s">
        <v>212</v>
      </c>
      <c r="G16" s="73" t="s">
        <v>188</v>
      </c>
    </row>
    <row r="17" spans="1:7" x14ac:dyDescent="0.25">
      <c r="A17" s="71">
        <v>16</v>
      </c>
      <c r="B17" s="72" t="s">
        <v>214</v>
      </c>
      <c r="C17" s="72" t="s">
        <v>215</v>
      </c>
      <c r="D17" s="72" t="s">
        <v>214</v>
      </c>
      <c r="E17" s="72" t="s">
        <v>35</v>
      </c>
      <c r="F17" s="73" t="s">
        <v>214</v>
      </c>
      <c r="G17" s="73" t="s">
        <v>188</v>
      </c>
    </row>
    <row r="18" spans="1:7" x14ac:dyDescent="0.25">
      <c r="A18" s="71">
        <v>17</v>
      </c>
      <c r="B18" s="72" t="s">
        <v>216</v>
      </c>
      <c r="C18" s="72" t="s">
        <v>217</v>
      </c>
      <c r="D18" s="72" t="s">
        <v>216</v>
      </c>
      <c r="E18" s="72" t="s">
        <v>35</v>
      </c>
      <c r="F18" s="73" t="s">
        <v>216</v>
      </c>
      <c r="G18" s="73" t="s">
        <v>188</v>
      </c>
    </row>
    <row r="19" spans="1:7" x14ac:dyDescent="0.25">
      <c r="A19" s="71">
        <v>18</v>
      </c>
      <c r="B19" s="72" t="s">
        <v>218</v>
      </c>
      <c r="C19" s="72" t="s">
        <v>219</v>
      </c>
      <c r="D19" s="72" t="s">
        <v>218</v>
      </c>
      <c r="E19" s="72" t="s">
        <v>37</v>
      </c>
      <c r="F19" s="73" t="s">
        <v>218</v>
      </c>
      <c r="G19" s="73" t="s">
        <v>188</v>
      </c>
    </row>
    <row r="20" spans="1:7" x14ac:dyDescent="0.25">
      <c r="A20" s="71">
        <v>19</v>
      </c>
      <c r="B20" s="72" t="s">
        <v>220</v>
      </c>
      <c r="C20" s="72" t="s">
        <v>221</v>
      </c>
      <c r="D20" s="72" t="s">
        <v>220</v>
      </c>
      <c r="E20" s="72" t="s">
        <v>37</v>
      </c>
      <c r="F20" s="73" t="s">
        <v>220</v>
      </c>
      <c r="G20" s="73" t="s">
        <v>188</v>
      </c>
    </row>
    <row r="21" spans="1:7" x14ac:dyDescent="0.25">
      <c r="A21" s="71">
        <v>20</v>
      </c>
      <c r="B21" s="72" t="s">
        <v>222</v>
      </c>
      <c r="C21" s="72" t="s">
        <v>223</v>
      </c>
      <c r="D21" s="72" t="s">
        <v>222</v>
      </c>
      <c r="E21" s="72" t="s">
        <v>39</v>
      </c>
      <c r="F21" s="73" t="s">
        <v>222</v>
      </c>
      <c r="G21" s="73" t="s">
        <v>188</v>
      </c>
    </row>
    <row r="22" spans="1:7" x14ac:dyDescent="0.25">
      <c r="A22" s="71">
        <v>21</v>
      </c>
      <c r="B22" s="72" t="s">
        <v>224</v>
      </c>
      <c r="C22" s="72" t="s">
        <v>225</v>
      </c>
      <c r="D22" s="72" t="s">
        <v>224</v>
      </c>
      <c r="E22" s="72" t="s">
        <v>39</v>
      </c>
      <c r="F22" s="73" t="s">
        <v>224</v>
      </c>
      <c r="G22" s="73" t="s">
        <v>188</v>
      </c>
    </row>
    <row r="23" spans="1:7" x14ac:dyDescent="0.25">
      <c r="A23" s="71">
        <v>22</v>
      </c>
      <c r="B23" s="72" t="s">
        <v>166</v>
      </c>
      <c r="C23" s="72" t="s">
        <v>226</v>
      </c>
      <c r="D23" s="72" t="s">
        <v>166</v>
      </c>
      <c r="E23" s="72" t="s">
        <v>39</v>
      </c>
      <c r="F23" s="73" t="s">
        <v>166</v>
      </c>
      <c r="G23" s="73" t="s">
        <v>188</v>
      </c>
    </row>
    <row r="24" spans="1:7" x14ac:dyDescent="0.25">
      <c r="A24" s="71">
        <v>23</v>
      </c>
      <c r="B24" s="72" t="s">
        <v>227</v>
      </c>
      <c r="C24" s="72" t="s">
        <v>228</v>
      </c>
      <c r="D24" s="72" t="s">
        <v>227</v>
      </c>
      <c r="E24" s="72" t="s">
        <v>30</v>
      </c>
      <c r="F24" s="73" t="s">
        <v>227</v>
      </c>
      <c r="G24" s="73" t="s">
        <v>188</v>
      </c>
    </row>
    <row r="25" spans="1:7" x14ac:dyDescent="0.25">
      <c r="A25" s="71">
        <v>24</v>
      </c>
      <c r="B25" s="72" t="s">
        <v>229</v>
      </c>
      <c r="C25" s="72" t="s">
        <v>230</v>
      </c>
      <c r="D25" s="72" t="s">
        <v>229</v>
      </c>
      <c r="E25" s="72" t="s">
        <v>41</v>
      </c>
      <c r="F25" s="73" t="s">
        <v>229</v>
      </c>
      <c r="G25" s="73" t="s">
        <v>188</v>
      </c>
    </row>
    <row r="26" spans="1:7" x14ac:dyDescent="0.25">
      <c r="A26" s="71">
        <v>25</v>
      </c>
      <c r="B26" s="72" t="s">
        <v>114</v>
      </c>
      <c r="C26" s="72" t="s">
        <v>231</v>
      </c>
      <c r="D26" s="72" t="s">
        <v>114</v>
      </c>
      <c r="E26" s="72" t="s">
        <v>42</v>
      </c>
      <c r="F26" s="73" t="s">
        <v>114</v>
      </c>
      <c r="G26" s="73" t="s">
        <v>188</v>
      </c>
    </row>
    <row r="27" spans="1:7" x14ac:dyDescent="0.25">
      <c r="A27" s="71">
        <v>26</v>
      </c>
      <c r="B27" s="72" t="s">
        <v>232</v>
      </c>
      <c r="C27" s="72" t="s">
        <v>233</v>
      </c>
      <c r="D27" s="72" t="s">
        <v>232</v>
      </c>
      <c r="E27" s="72" t="s">
        <v>42</v>
      </c>
      <c r="F27" s="73" t="s">
        <v>232</v>
      </c>
      <c r="G27" s="73" t="s">
        <v>188</v>
      </c>
    </row>
    <row r="28" spans="1:7" x14ac:dyDescent="0.25">
      <c r="A28" s="71">
        <v>27</v>
      </c>
      <c r="B28" s="72" t="s">
        <v>234</v>
      </c>
      <c r="C28" s="72" t="s">
        <v>235</v>
      </c>
      <c r="D28" s="72" t="s">
        <v>234</v>
      </c>
      <c r="E28" s="72" t="s">
        <v>43</v>
      </c>
      <c r="F28" s="73" t="s">
        <v>234</v>
      </c>
      <c r="G28" s="73" t="s">
        <v>188</v>
      </c>
    </row>
    <row r="29" spans="1:7" x14ac:dyDescent="0.25">
      <c r="A29" s="71">
        <v>28</v>
      </c>
      <c r="B29" s="72" t="s">
        <v>124</v>
      </c>
      <c r="C29" s="72" t="s">
        <v>236</v>
      </c>
      <c r="D29" s="72" t="s">
        <v>124</v>
      </c>
      <c r="E29" s="72" t="s">
        <v>42</v>
      </c>
      <c r="F29" s="73" t="s">
        <v>124</v>
      </c>
      <c r="G29" s="73" t="s">
        <v>188</v>
      </c>
    </row>
    <row r="30" spans="1:7" x14ac:dyDescent="0.25">
      <c r="A30" s="71">
        <v>29</v>
      </c>
      <c r="B30" s="72" t="s">
        <v>89</v>
      </c>
      <c r="C30" s="72" t="s">
        <v>237</v>
      </c>
      <c r="D30" s="72" t="s">
        <v>89</v>
      </c>
      <c r="E30" s="72" t="s">
        <v>42</v>
      </c>
      <c r="F30" s="73" t="s">
        <v>89</v>
      </c>
      <c r="G30" s="73" t="s">
        <v>188</v>
      </c>
    </row>
    <row r="31" spans="1:7" x14ac:dyDescent="0.25">
      <c r="A31" s="71">
        <v>30</v>
      </c>
      <c r="B31" s="72" t="s">
        <v>128</v>
      </c>
      <c r="C31" s="72" t="s">
        <v>238</v>
      </c>
      <c r="D31" s="72" t="s">
        <v>128</v>
      </c>
      <c r="E31" s="72" t="s">
        <v>42</v>
      </c>
      <c r="F31" s="73" t="s">
        <v>128</v>
      </c>
      <c r="G31" s="73" t="s">
        <v>188</v>
      </c>
    </row>
    <row r="32" spans="1:7" x14ac:dyDescent="0.25">
      <c r="A32" s="71">
        <v>31</v>
      </c>
      <c r="B32" s="72" t="s">
        <v>239</v>
      </c>
      <c r="C32" s="72" t="s">
        <v>240</v>
      </c>
      <c r="D32" s="72" t="s">
        <v>239</v>
      </c>
      <c r="E32" s="72" t="s">
        <v>42</v>
      </c>
      <c r="F32" s="73" t="s">
        <v>239</v>
      </c>
      <c r="G32" s="73" t="s">
        <v>188</v>
      </c>
    </row>
    <row r="33" spans="1:7" x14ac:dyDescent="0.25">
      <c r="A33" s="71">
        <v>32</v>
      </c>
      <c r="B33" s="72" t="s">
        <v>241</v>
      </c>
      <c r="C33" s="72" t="s">
        <v>242</v>
      </c>
      <c r="D33" s="72" t="s">
        <v>241</v>
      </c>
      <c r="E33" s="72" t="s">
        <v>42</v>
      </c>
      <c r="F33" s="73" t="s">
        <v>241</v>
      </c>
      <c r="G33" s="73" t="s">
        <v>188</v>
      </c>
    </row>
    <row r="34" spans="1:7" x14ac:dyDescent="0.25">
      <c r="A34" s="71">
        <v>33</v>
      </c>
      <c r="B34" s="72" t="s">
        <v>243</v>
      </c>
      <c r="C34" s="72" t="s">
        <v>244</v>
      </c>
      <c r="D34" s="72" t="s">
        <v>243</v>
      </c>
      <c r="E34" s="72" t="s">
        <v>42</v>
      </c>
      <c r="F34" s="73" t="s">
        <v>243</v>
      </c>
      <c r="G34" s="73" t="s">
        <v>188</v>
      </c>
    </row>
    <row r="35" spans="1:7" x14ac:dyDescent="0.25">
      <c r="A35" s="71">
        <v>34</v>
      </c>
      <c r="B35" s="72" t="s">
        <v>142</v>
      </c>
      <c r="C35" s="72" t="s">
        <v>245</v>
      </c>
      <c r="D35" s="72" t="s">
        <v>142</v>
      </c>
      <c r="E35" s="72" t="s">
        <v>42</v>
      </c>
      <c r="F35" s="73" t="s">
        <v>142</v>
      </c>
      <c r="G35" s="73" t="s">
        <v>188</v>
      </c>
    </row>
    <row r="36" spans="1:7" x14ac:dyDescent="0.25">
      <c r="A36" s="71">
        <v>35</v>
      </c>
      <c r="B36" s="72" t="s">
        <v>246</v>
      </c>
      <c r="C36" s="72" t="s">
        <v>247</v>
      </c>
      <c r="D36" s="72" t="s">
        <v>246</v>
      </c>
      <c r="E36" s="72" t="s">
        <v>43</v>
      </c>
      <c r="F36" s="73" t="s">
        <v>246</v>
      </c>
      <c r="G36" s="73" t="s">
        <v>188</v>
      </c>
    </row>
    <row r="37" spans="1:7" x14ac:dyDescent="0.25">
      <c r="A37" s="71">
        <v>36</v>
      </c>
      <c r="B37" s="72" t="s">
        <v>87</v>
      </c>
      <c r="C37" s="72" t="s">
        <v>248</v>
      </c>
      <c r="D37" s="72" t="s">
        <v>87</v>
      </c>
      <c r="E37" s="72" t="s">
        <v>43</v>
      </c>
      <c r="F37" s="73" t="s">
        <v>87</v>
      </c>
      <c r="G37" s="73" t="s">
        <v>188</v>
      </c>
    </row>
    <row r="38" spans="1:7" x14ac:dyDescent="0.25">
      <c r="A38" s="71">
        <v>37</v>
      </c>
      <c r="B38" s="72" t="s">
        <v>249</v>
      </c>
      <c r="C38" s="72" t="s">
        <v>250</v>
      </c>
      <c r="D38" s="72" t="s">
        <v>249</v>
      </c>
      <c r="E38" s="72" t="s">
        <v>42</v>
      </c>
      <c r="F38" s="73" t="s">
        <v>249</v>
      </c>
      <c r="G38" s="73" t="s">
        <v>188</v>
      </c>
    </row>
    <row r="39" spans="1:7" x14ac:dyDescent="0.25">
      <c r="A39" s="71">
        <v>38</v>
      </c>
      <c r="B39" s="72" t="s">
        <v>251</v>
      </c>
      <c r="C39" s="72" t="s">
        <v>252</v>
      </c>
      <c r="D39" s="72" t="s">
        <v>251</v>
      </c>
      <c r="E39" s="72" t="s">
        <v>44</v>
      </c>
      <c r="F39" s="73" t="s">
        <v>251</v>
      </c>
      <c r="G39" s="73" t="s">
        <v>188</v>
      </c>
    </row>
    <row r="40" spans="1:7" x14ac:dyDescent="0.25">
      <c r="A40" s="71">
        <v>39</v>
      </c>
      <c r="B40" s="72" t="s">
        <v>253</v>
      </c>
      <c r="C40" s="72" t="s">
        <v>254</v>
      </c>
      <c r="D40" s="72" t="s">
        <v>253</v>
      </c>
      <c r="E40" s="72" t="s">
        <v>45</v>
      </c>
      <c r="F40" s="73" t="s">
        <v>253</v>
      </c>
      <c r="G40" s="73" t="s">
        <v>188</v>
      </c>
    </row>
    <row r="41" spans="1:7" x14ac:dyDescent="0.25">
      <c r="A41" s="71">
        <v>40</v>
      </c>
      <c r="B41" s="72" t="s">
        <v>255</v>
      </c>
      <c r="C41" s="72" t="s">
        <v>256</v>
      </c>
      <c r="D41" s="72" t="s">
        <v>255</v>
      </c>
      <c r="E41" s="72" t="s">
        <v>45</v>
      </c>
      <c r="F41" s="73" t="s">
        <v>255</v>
      </c>
      <c r="G41" s="73" t="s">
        <v>188</v>
      </c>
    </row>
    <row r="42" spans="1:7" x14ac:dyDescent="0.25">
      <c r="A42" s="71">
        <v>41</v>
      </c>
      <c r="B42" s="72" t="s">
        <v>257</v>
      </c>
      <c r="C42" s="72" t="s">
        <v>258</v>
      </c>
      <c r="D42" s="72" t="s">
        <v>257</v>
      </c>
      <c r="E42" s="72" t="s">
        <v>44</v>
      </c>
      <c r="F42" s="73" t="s">
        <v>257</v>
      </c>
      <c r="G42" s="73" t="s">
        <v>188</v>
      </c>
    </row>
    <row r="43" spans="1:7" x14ac:dyDescent="0.25">
      <c r="A43" s="71">
        <v>42</v>
      </c>
      <c r="B43" s="72" t="s">
        <v>259</v>
      </c>
      <c r="C43" s="72" t="s">
        <v>260</v>
      </c>
      <c r="D43" s="72" t="s">
        <v>259</v>
      </c>
      <c r="E43" s="72" t="s">
        <v>46</v>
      </c>
      <c r="F43" s="73" t="s">
        <v>259</v>
      </c>
      <c r="G43" s="73" t="s">
        <v>188</v>
      </c>
    </row>
    <row r="44" spans="1:7" x14ac:dyDescent="0.25">
      <c r="A44" s="71">
        <v>43</v>
      </c>
      <c r="B44" s="72" t="s">
        <v>261</v>
      </c>
      <c r="C44" s="72" t="s">
        <v>262</v>
      </c>
      <c r="D44" s="72" t="s">
        <v>261</v>
      </c>
      <c r="E44" s="72" t="s">
        <v>45</v>
      </c>
      <c r="F44" s="73" t="s">
        <v>261</v>
      </c>
      <c r="G44" s="73" t="s">
        <v>188</v>
      </c>
    </row>
    <row r="45" spans="1:7" x14ac:dyDescent="0.25">
      <c r="A45" s="71">
        <v>44</v>
      </c>
      <c r="B45" s="72" t="s">
        <v>263</v>
      </c>
      <c r="C45" s="72" t="s">
        <v>264</v>
      </c>
      <c r="D45" s="72" t="s">
        <v>263</v>
      </c>
      <c r="E45" s="72" t="s">
        <v>45</v>
      </c>
      <c r="F45" s="73" t="s">
        <v>263</v>
      </c>
      <c r="G45" s="73" t="s">
        <v>188</v>
      </c>
    </row>
    <row r="46" spans="1:7" x14ac:dyDescent="0.25">
      <c r="A46" s="71">
        <v>45</v>
      </c>
      <c r="B46" s="72" t="s">
        <v>265</v>
      </c>
      <c r="C46" s="72" t="s">
        <v>266</v>
      </c>
      <c r="D46" s="72" t="s">
        <v>265</v>
      </c>
      <c r="E46" s="72" t="s">
        <v>44</v>
      </c>
      <c r="F46" s="73" t="s">
        <v>265</v>
      </c>
      <c r="G46" s="73" t="s">
        <v>188</v>
      </c>
    </row>
    <row r="47" spans="1:7" x14ac:dyDescent="0.25">
      <c r="A47" s="71">
        <v>46</v>
      </c>
      <c r="B47" s="72" t="s">
        <v>267</v>
      </c>
      <c r="C47" s="72" t="s">
        <v>268</v>
      </c>
      <c r="D47" s="72" t="s">
        <v>267</v>
      </c>
      <c r="E47" s="72" t="s">
        <v>44</v>
      </c>
      <c r="F47" s="73" t="s">
        <v>267</v>
      </c>
      <c r="G47" s="73" t="s">
        <v>188</v>
      </c>
    </row>
    <row r="48" spans="1:7" x14ac:dyDescent="0.25">
      <c r="A48" s="71">
        <v>47</v>
      </c>
      <c r="B48" s="72" t="s">
        <v>269</v>
      </c>
      <c r="C48" s="72" t="s">
        <v>270</v>
      </c>
      <c r="D48" s="72" t="s">
        <v>269</v>
      </c>
      <c r="E48" s="72" t="s">
        <v>45</v>
      </c>
      <c r="F48" s="73" t="s">
        <v>269</v>
      </c>
      <c r="G48" s="73" t="s">
        <v>188</v>
      </c>
    </row>
    <row r="49" spans="1:7" x14ac:dyDescent="0.25">
      <c r="A49" s="71">
        <v>48</v>
      </c>
      <c r="B49" s="72" t="s">
        <v>271</v>
      </c>
      <c r="C49" s="72" t="s">
        <v>272</v>
      </c>
      <c r="D49" s="72" t="s">
        <v>271</v>
      </c>
      <c r="E49" s="72" t="s">
        <v>44</v>
      </c>
      <c r="F49" s="73" t="s">
        <v>271</v>
      </c>
      <c r="G49" s="73" t="s">
        <v>188</v>
      </c>
    </row>
    <row r="50" spans="1:7" x14ac:dyDescent="0.25">
      <c r="A50" s="71">
        <v>49</v>
      </c>
      <c r="B50" s="72" t="s">
        <v>273</v>
      </c>
      <c r="C50" s="72" t="s">
        <v>274</v>
      </c>
      <c r="D50" s="72" t="s">
        <v>273</v>
      </c>
      <c r="E50" s="72" t="s">
        <v>30</v>
      </c>
      <c r="F50" s="73" t="s">
        <v>273</v>
      </c>
      <c r="G50" s="73" t="s">
        <v>188</v>
      </c>
    </row>
    <row r="51" spans="1:7" x14ac:dyDescent="0.25">
      <c r="A51" s="71">
        <v>50</v>
      </c>
      <c r="B51" s="72" t="s">
        <v>275</v>
      </c>
      <c r="C51" s="72" t="s">
        <v>276</v>
      </c>
      <c r="D51" s="72" t="s">
        <v>275</v>
      </c>
      <c r="E51" s="72" t="s">
        <v>44</v>
      </c>
      <c r="F51" s="73" t="s">
        <v>275</v>
      </c>
      <c r="G51" s="73" t="s">
        <v>188</v>
      </c>
    </row>
    <row r="52" spans="1:7" x14ac:dyDescent="0.25">
      <c r="A52" s="71">
        <v>51</v>
      </c>
      <c r="B52" s="72" t="s">
        <v>277</v>
      </c>
      <c r="C52" s="72" t="s">
        <v>278</v>
      </c>
      <c r="D52" s="72" t="s">
        <v>277</v>
      </c>
      <c r="E52" s="72" t="s">
        <v>44</v>
      </c>
      <c r="F52" s="73" t="s">
        <v>277</v>
      </c>
      <c r="G52" s="73" t="s">
        <v>188</v>
      </c>
    </row>
    <row r="53" spans="1:7" x14ac:dyDescent="0.25">
      <c r="A53" s="71">
        <v>52</v>
      </c>
      <c r="B53" s="72" t="s">
        <v>279</v>
      </c>
      <c r="C53" s="72" t="s">
        <v>280</v>
      </c>
      <c r="D53" s="72" t="s">
        <v>279</v>
      </c>
      <c r="E53" s="72" t="s">
        <v>44</v>
      </c>
      <c r="F53" s="73" t="s">
        <v>279</v>
      </c>
      <c r="G53" s="73" t="s">
        <v>188</v>
      </c>
    </row>
    <row r="54" spans="1:7" x14ac:dyDescent="0.25">
      <c r="A54" s="71">
        <v>53</v>
      </c>
      <c r="B54" s="72" t="s">
        <v>281</v>
      </c>
      <c r="C54" s="72" t="s">
        <v>282</v>
      </c>
      <c r="D54" s="72" t="s">
        <v>281</v>
      </c>
      <c r="E54" s="72" t="s">
        <v>30</v>
      </c>
      <c r="F54" s="73" t="s">
        <v>281</v>
      </c>
      <c r="G54" s="73" t="s">
        <v>188</v>
      </c>
    </row>
    <row r="55" spans="1:7" x14ac:dyDescent="0.25">
      <c r="A55" s="71">
        <v>54</v>
      </c>
      <c r="B55" s="72" t="s">
        <v>283</v>
      </c>
      <c r="C55" s="72" t="s">
        <v>284</v>
      </c>
      <c r="D55" s="72" t="s">
        <v>283</v>
      </c>
      <c r="E55" s="72" t="s">
        <v>44</v>
      </c>
      <c r="F55" s="73" t="s">
        <v>283</v>
      </c>
      <c r="G55" s="73" t="s">
        <v>188</v>
      </c>
    </row>
    <row r="56" spans="1:7" x14ac:dyDescent="0.25">
      <c r="A56" s="71">
        <v>55</v>
      </c>
      <c r="B56" s="72" t="s">
        <v>285</v>
      </c>
      <c r="C56" s="72" t="s">
        <v>286</v>
      </c>
      <c r="D56" s="72" t="s">
        <v>285</v>
      </c>
      <c r="E56" s="72" t="s">
        <v>44</v>
      </c>
      <c r="F56" s="73" t="s">
        <v>285</v>
      </c>
      <c r="G56" s="73" t="s">
        <v>188</v>
      </c>
    </row>
    <row r="57" spans="1:7" x14ac:dyDescent="0.25">
      <c r="A57" s="71">
        <v>56</v>
      </c>
      <c r="B57" s="72" t="s">
        <v>287</v>
      </c>
      <c r="C57" s="72" t="s">
        <v>288</v>
      </c>
      <c r="D57" s="72" t="s">
        <v>287</v>
      </c>
      <c r="E57" s="72" t="s">
        <v>39</v>
      </c>
      <c r="F57" s="73" t="s">
        <v>287</v>
      </c>
      <c r="G57" s="73" t="s">
        <v>188</v>
      </c>
    </row>
    <row r="58" spans="1:7" x14ac:dyDescent="0.25">
      <c r="A58" s="71">
        <v>57</v>
      </c>
      <c r="B58" s="72" t="s">
        <v>85</v>
      </c>
      <c r="C58" s="72" t="s">
        <v>289</v>
      </c>
      <c r="D58" s="72" t="s">
        <v>85</v>
      </c>
      <c r="E58" s="72" t="s">
        <v>44</v>
      </c>
      <c r="F58" s="73" t="s">
        <v>85</v>
      </c>
      <c r="G58" s="73" t="s">
        <v>188</v>
      </c>
    </row>
    <row r="59" spans="1:7" x14ac:dyDescent="0.25">
      <c r="A59" s="71">
        <v>58</v>
      </c>
      <c r="B59" s="72" t="s">
        <v>290</v>
      </c>
      <c r="C59" s="72" t="s">
        <v>291</v>
      </c>
      <c r="D59" s="72" t="s">
        <v>290</v>
      </c>
      <c r="E59" s="72" t="s">
        <v>41</v>
      </c>
      <c r="F59" s="73" t="s">
        <v>290</v>
      </c>
      <c r="G59" s="73" t="s">
        <v>188</v>
      </c>
    </row>
    <row r="60" spans="1:7" x14ac:dyDescent="0.25">
      <c r="A60" s="71">
        <v>59</v>
      </c>
      <c r="B60" s="72" t="s">
        <v>292</v>
      </c>
      <c r="C60" s="72" t="s">
        <v>293</v>
      </c>
      <c r="D60" s="72" t="s">
        <v>292</v>
      </c>
      <c r="E60" s="72" t="s">
        <v>47</v>
      </c>
      <c r="F60" s="73" t="s">
        <v>292</v>
      </c>
      <c r="G60" s="73" t="s">
        <v>188</v>
      </c>
    </row>
    <row r="61" spans="1:7" x14ac:dyDescent="0.25">
      <c r="A61" s="71">
        <v>60</v>
      </c>
      <c r="B61" s="72" t="s">
        <v>294</v>
      </c>
      <c r="C61" s="72" t="s">
        <v>295</v>
      </c>
      <c r="D61" s="72" t="s">
        <v>294</v>
      </c>
      <c r="E61" s="72" t="s">
        <v>44</v>
      </c>
      <c r="F61" s="73" t="s">
        <v>294</v>
      </c>
      <c r="G61" s="73" t="s">
        <v>188</v>
      </c>
    </row>
    <row r="62" spans="1:7" x14ac:dyDescent="0.25">
      <c r="A62" s="71">
        <v>61</v>
      </c>
      <c r="B62" s="72" t="s">
        <v>296</v>
      </c>
      <c r="C62" s="72" t="s">
        <v>297</v>
      </c>
      <c r="D62" s="72" t="s">
        <v>296</v>
      </c>
      <c r="E62" s="72" t="s">
        <v>30</v>
      </c>
      <c r="F62" s="73" t="s">
        <v>296</v>
      </c>
      <c r="G62" s="73" t="s">
        <v>188</v>
      </c>
    </row>
    <row r="63" spans="1:7" x14ac:dyDescent="0.25">
      <c r="A63" s="71">
        <v>62</v>
      </c>
      <c r="B63" s="72" t="s">
        <v>298</v>
      </c>
      <c r="C63" s="72" t="s">
        <v>299</v>
      </c>
      <c r="D63" s="72" t="s">
        <v>298</v>
      </c>
      <c r="E63" s="72" t="s">
        <v>30</v>
      </c>
      <c r="F63" s="73" t="s">
        <v>298</v>
      </c>
      <c r="G63" s="73" t="s">
        <v>188</v>
      </c>
    </row>
    <row r="64" spans="1:7" x14ac:dyDescent="0.25">
      <c r="A64" s="71">
        <v>63</v>
      </c>
      <c r="B64" s="72" t="s">
        <v>300</v>
      </c>
      <c r="C64" s="72" t="s">
        <v>301</v>
      </c>
      <c r="D64" s="72" t="s">
        <v>300</v>
      </c>
      <c r="E64" s="72" t="s">
        <v>30</v>
      </c>
      <c r="F64" s="73" t="s">
        <v>300</v>
      </c>
      <c r="G64" s="73" t="s">
        <v>188</v>
      </c>
    </row>
    <row r="65" spans="1:7" x14ac:dyDescent="0.25">
      <c r="A65" s="71">
        <v>64</v>
      </c>
      <c r="B65" s="72" t="s">
        <v>93</v>
      </c>
      <c r="C65" s="72" t="s">
        <v>302</v>
      </c>
      <c r="D65" s="72" t="s">
        <v>93</v>
      </c>
      <c r="E65" s="72" t="s">
        <v>41</v>
      </c>
      <c r="F65" s="73" t="s">
        <v>93</v>
      </c>
      <c r="G65" s="73" t="s">
        <v>188</v>
      </c>
    </row>
    <row r="66" spans="1:7" x14ac:dyDescent="0.25">
      <c r="A66" s="71">
        <v>65</v>
      </c>
      <c r="B66" s="72" t="s">
        <v>100</v>
      </c>
      <c r="C66" s="72" t="s">
        <v>303</v>
      </c>
      <c r="D66" s="72" t="s">
        <v>100</v>
      </c>
      <c r="E66" s="72" t="s">
        <v>35</v>
      </c>
      <c r="F66" s="73" t="s">
        <v>100</v>
      </c>
      <c r="G66" s="73" t="s">
        <v>188</v>
      </c>
    </row>
    <row r="67" spans="1:7" x14ac:dyDescent="0.25">
      <c r="A67" s="71">
        <v>66</v>
      </c>
      <c r="B67" s="72" t="s">
        <v>304</v>
      </c>
      <c r="C67" s="72" t="s">
        <v>305</v>
      </c>
      <c r="D67" s="72" t="s">
        <v>304</v>
      </c>
      <c r="E67" s="72" t="s">
        <v>41</v>
      </c>
      <c r="F67" s="73" t="s">
        <v>304</v>
      </c>
      <c r="G67" s="73" t="s">
        <v>188</v>
      </c>
    </row>
    <row r="68" spans="1:7" x14ac:dyDescent="0.25">
      <c r="A68" s="71">
        <v>67</v>
      </c>
      <c r="B68" s="72" t="s">
        <v>306</v>
      </c>
      <c r="C68" s="72" t="s">
        <v>307</v>
      </c>
      <c r="D68" s="72" t="s">
        <v>306</v>
      </c>
      <c r="E68" s="72" t="s">
        <v>43</v>
      </c>
      <c r="F68" s="73" t="s">
        <v>306</v>
      </c>
      <c r="G68" s="73" t="s">
        <v>188</v>
      </c>
    </row>
    <row r="69" spans="1:7" x14ac:dyDescent="0.25">
      <c r="A69" s="71">
        <v>68</v>
      </c>
      <c r="B69" s="72" t="s">
        <v>77</v>
      </c>
      <c r="C69" s="72" t="s">
        <v>308</v>
      </c>
      <c r="D69" s="72" t="s">
        <v>77</v>
      </c>
      <c r="E69" s="72" t="s">
        <v>43</v>
      </c>
      <c r="F69" s="73" t="s">
        <v>77</v>
      </c>
      <c r="G69" s="73" t="s">
        <v>188</v>
      </c>
    </row>
    <row r="70" spans="1:7" x14ac:dyDescent="0.25">
      <c r="A70" s="71">
        <v>69</v>
      </c>
      <c r="B70" s="72" t="s">
        <v>171</v>
      </c>
      <c r="C70" s="72" t="s">
        <v>309</v>
      </c>
      <c r="D70" s="72" t="s">
        <v>171</v>
      </c>
      <c r="E70" s="72" t="s">
        <v>39</v>
      </c>
      <c r="F70" s="72" t="s">
        <v>171</v>
      </c>
      <c r="G70" s="73" t="s">
        <v>188</v>
      </c>
    </row>
    <row r="71" spans="1:7" x14ac:dyDescent="0.25">
      <c r="A71" s="71">
        <v>70</v>
      </c>
      <c r="B71" s="72" t="s">
        <v>310</v>
      </c>
      <c r="C71" s="72" t="s">
        <v>311</v>
      </c>
      <c r="D71" s="72" t="s">
        <v>310</v>
      </c>
      <c r="E71" s="72" t="s">
        <v>30</v>
      </c>
      <c r="F71" s="73" t="s">
        <v>310</v>
      </c>
      <c r="G71" s="73" t="s">
        <v>188</v>
      </c>
    </row>
    <row r="72" spans="1:7" x14ac:dyDescent="0.25">
      <c r="A72" s="71">
        <v>71</v>
      </c>
      <c r="B72" s="72" t="s">
        <v>312</v>
      </c>
      <c r="C72" s="72" t="s">
        <v>313</v>
      </c>
      <c r="D72" s="72" t="s">
        <v>312</v>
      </c>
      <c r="E72" s="72" t="s">
        <v>41</v>
      </c>
      <c r="F72" s="73" t="s">
        <v>312</v>
      </c>
      <c r="G72" s="73" t="s">
        <v>188</v>
      </c>
    </row>
    <row r="73" spans="1:7" x14ac:dyDescent="0.25">
      <c r="A73" s="71">
        <v>72</v>
      </c>
      <c r="B73" s="72" t="s">
        <v>314</v>
      </c>
      <c r="C73" s="72" t="s">
        <v>315</v>
      </c>
      <c r="D73" s="72" t="s">
        <v>314</v>
      </c>
      <c r="E73" s="72" t="s">
        <v>43</v>
      </c>
      <c r="F73" s="73" t="s">
        <v>314</v>
      </c>
      <c r="G73" s="73" t="s">
        <v>188</v>
      </c>
    </row>
    <row r="74" spans="1:7" x14ac:dyDescent="0.25">
      <c r="A74" s="71">
        <v>73</v>
      </c>
      <c r="B74" s="72" t="s">
        <v>316</v>
      </c>
      <c r="C74" s="72" t="s">
        <v>317</v>
      </c>
      <c r="D74" s="72" t="s">
        <v>316</v>
      </c>
      <c r="E74" s="72" t="s">
        <v>41</v>
      </c>
      <c r="F74" s="73" t="s">
        <v>316</v>
      </c>
      <c r="G74" s="73" t="s">
        <v>188</v>
      </c>
    </row>
    <row r="75" spans="1:7" x14ac:dyDescent="0.25">
      <c r="A75" s="71">
        <v>74</v>
      </c>
      <c r="B75" s="72" t="s">
        <v>318</v>
      </c>
      <c r="C75" s="72" t="s">
        <v>319</v>
      </c>
      <c r="D75" s="72" t="s">
        <v>318</v>
      </c>
      <c r="E75" s="72" t="s">
        <v>41</v>
      </c>
      <c r="F75" s="73" t="s">
        <v>318</v>
      </c>
      <c r="G75" s="73" t="s">
        <v>188</v>
      </c>
    </row>
    <row r="76" spans="1:7" x14ac:dyDescent="0.25">
      <c r="A76" s="71">
        <v>75</v>
      </c>
      <c r="B76" s="72" t="s">
        <v>320</v>
      </c>
      <c r="C76" s="72" t="s">
        <v>321</v>
      </c>
      <c r="D76" s="72" t="s">
        <v>320</v>
      </c>
      <c r="E76" s="72" t="s">
        <v>41</v>
      </c>
      <c r="F76" s="73" t="s">
        <v>320</v>
      </c>
      <c r="G76" s="73" t="s">
        <v>188</v>
      </c>
    </row>
    <row r="77" spans="1:7" x14ac:dyDescent="0.25">
      <c r="A77" s="71">
        <v>76</v>
      </c>
      <c r="B77" s="72" t="s">
        <v>322</v>
      </c>
      <c r="C77" s="72" t="s">
        <v>323</v>
      </c>
      <c r="D77" s="72" t="s">
        <v>322</v>
      </c>
      <c r="E77" s="72" t="s">
        <v>41</v>
      </c>
      <c r="F77" s="73" t="s">
        <v>322</v>
      </c>
      <c r="G77" s="73" t="s">
        <v>188</v>
      </c>
    </row>
    <row r="78" spans="1:7" x14ac:dyDescent="0.25">
      <c r="A78" s="71">
        <v>77</v>
      </c>
      <c r="B78" s="72" t="s">
        <v>156</v>
      </c>
      <c r="C78" s="72" t="s">
        <v>324</v>
      </c>
      <c r="D78" s="72" t="s">
        <v>156</v>
      </c>
      <c r="E78" s="72" t="s">
        <v>41</v>
      </c>
      <c r="F78" s="73" t="s">
        <v>156</v>
      </c>
      <c r="G78" s="73" t="s">
        <v>188</v>
      </c>
    </row>
    <row r="79" spans="1:7" x14ac:dyDescent="0.25">
      <c r="A79" s="71">
        <v>78</v>
      </c>
      <c r="B79" s="72" t="s">
        <v>325</v>
      </c>
      <c r="C79" s="72" t="s">
        <v>326</v>
      </c>
      <c r="D79" s="72" t="s">
        <v>325</v>
      </c>
      <c r="E79" s="72" t="s">
        <v>44</v>
      </c>
      <c r="F79" s="73" t="s">
        <v>325</v>
      </c>
      <c r="G79" s="73" t="s">
        <v>188</v>
      </c>
    </row>
    <row r="80" spans="1:7" x14ac:dyDescent="0.25">
      <c r="A80" s="71">
        <v>79</v>
      </c>
      <c r="B80" s="72" t="s">
        <v>327</v>
      </c>
      <c r="C80" s="72" t="s">
        <v>328</v>
      </c>
      <c r="D80" s="72" t="s">
        <v>327</v>
      </c>
      <c r="E80" s="72" t="s">
        <v>41</v>
      </c>
      <c r="F80" s="73" t="s">
        <v>327</v>
      </c>
      <c r="G80" s="73" t="s">
        <v>188</v>
      </c>
    </row>
    <row r="81" spans="1:7" x14ac:dyDescent="0.25">
      <c r="A81" s="71">
        <v>80</v>
      </c>
      <c r="B81" s="72" t="s">
        <v>329</v>
      </c>
      <c r="C81" s="72" t="s">
        <v>330</v>
      </c>
      <c r="D81" s="72" t="s">
        <v>329</v>
      </c>
      <c r="E81" s="72" t="s">
        <v>41</v>
      </c>
      <c r="F81" s="73" t="s">
        <v>329</v>
      </c>
      <c r="G81" s="73" t="s">
        <v>188</v>
      </c>
    </row>
    <row r="82" spans="1:7" x14ac:dyDescent="0.25">
      <c r="A82" s="71">
        <v>81</v>
      </c>
      <c r="B82" s="72" t="s">
        <v>158</v>
      </c>
      <c r="C82" s="72" t="s">
        <v>331</v>
      </c>
      <c r="D82" s="72" t="s">
        <v>158</v>
      </c>
      <c r="E82" s="72" t="s">
        <v>41</v>
      </c>
      <c r="F82" s="73" t="s">
        <v>158</v>
      </c>
      <c r="G82" s="73" t="s">
        <v>188</v>
      </c>
    </row>
    <row r="83" spans="1:7" x14ac:dyDescent="0.25">
      <c r="A83" s="71">
        <v>82</v>
      </c>
      <c r="B83" s="72" t="s">
        <v>59</v>
      </c>
      <c r="C83" s="72" t="s">
        <v>332</v>
      </c>
      <c r="D83" s="72" t="s">
        <v>59</v>
      </c>
      <c r="E83" s="72" t="s">
        <v>39</v>
      </c>
      <c r="F83" s="73" t="s">
        <v>59</v>
      </c>
      <c r="G83" s="73" t="s">
        <v>188</v>
      </c>
    </row>
    <row r="84" spans="1:7" x14ac:dyDescent="0.25">
      <c r="A84" s="71">
        <v>83</v>
      </c>
      <c r="B84" s="72" t="s">
        <v>104</v>
      </c>
      <c r="C84" s="72" t="s">
        <v>333</v>
      </c>
      <c r="D84" s="72" t="s">
        <v>104</v>
      </c>
      <c r="E84" s="72" t="s">
        <v>44</v>
      </c>
      <c r="F84" s="73" t="s">
        <v>104</v>
      </c>
      <c r="G84" s="73" t="s">
        <v>188</v>
      </c>
    </row>
    <row r="85" spans="1:7" x14ac:dyDescent="0.25">
      <c r="A85" s="71">
        <v>84</v>
      </c>
      <c r="B85" s="72" t="s">
        <v>334</v>
      </c>
      <c r="C85" s="72" t="s">
        <v>335</v>
      </c>
      <c r="D85" s="72" t="s">
        <v>334</v>
      </c>
      <c r="E85" s="72" t="s">
        <v>30</v>
      </c>
      <c r="F85" s="73" t="s">
        <v>334</v>
      </c>
      <c r="G85" s="73" t="s">
        <v>188</v>
      </c>
    </row>
    <row r="86" spans="1:7" x14ac:dyDescent="0.25">
      <c r="A86" s="71">
        <v>85</v>
      </c>
      <c r="B86" s="72" t="s">
        <v>336</v>
      </c>
      <c r="C86" s="72" t="s">
        <v>337</v>
      </c>
      <c r="D86" s="72" t="s">
        <v>336</v>
      </c>
      <c r="E86" s="72" t="s">
        <v>39</v>
      </c>
      <c r="F86" s="73" t="s">
        <v>336</v>
      </c>
      <c r="G86" s="73" t="s">
        <v>188</v>
      </c>
    </row>
    <row r="87" spans="1:7" x14ac:dyDescent="0.25">
      <c r="A87" s="71">
        <v>86</v>
      </c>
      <c r="B87" s="72" t="s">
        <v>106</v>
      </c>
      <c r="C87" s="72" t="s">
        <v>338</v>
      </c>
      <c r="D87" s="72" t="s">
        <v>106</v>
      </c>
      <c r="E87" s="72" t="s">
        <v>42</v>
      </c>
      <c r="F87" s="73" t="s">
        <v>106</v>
      </c>
      <c r="G87" s="73" t="s">
        <v>188</v>
      </c>
    </row>
    <row r="88" spans="1:7" x14ac:dyDescent="0.25">
      <c r="A88" s="71">
        <v>87</v>
      </c>
      <c r="B88" s="72" t="s">
        <v>339</v>
      </c>
      <c r="C88" s="72" t="s">
        <v>340</v>
      </c>
      <c r="D88" s="72" t="s">
        <v>339</v>
      </c>
      <c r="E88" s="72" t="s">
        <v>41</v>
      </c>
      <c r="F88" s="73" t="s">
        <v>339</v>
      </c>
      <c r="G88" s="73" t="s">
        <v>188</v>
      </c>
    </row>
    <row r="89" spans="1:7" x14ac:dyDescent="0.25">
      <c r="A89" s="71">
        <v>88</v>
      </c>
      <c r="B89" s="72" t="s">
        <v>341</v>
      </c>
      <c r="C89" s="72" t="s">
        <v>342</v>
      </c>
      <c r="D89" s="72" t="s">
        <v>341</v>
      </c>
      <c r="E89" s="72" t="s">
        <v>39</v>
      </c>
      <c r="F89" s="73" t="s">
        <v>341</v>
      </c>
      <c r="G89" s="73" t="s">
        <v>188</v>
      </c>
    </row>
    <row r="90" spans="1:7" x14ac:dyDescent="0.25">
      <c r="A90" s="71">
        <v>89</v>
      </c>
      <c r="B90" s="72" t="s">
        <v>343</v>
      </c>
      <c r="C90" s="72" t="s">
        <v>344</v>
      </c>
      <c r="D90" s="72" t="s">
        <v>343</v>
      </c>
      <c r="E90" s="72" t="s">
        <v>39</v>
      </c>
      <c r="F90" s="73" t="s">
        <v>343</v>
      </c>
      <c r="G90" s="73" t="s">
        <v>188</v>
      </c>
    </row>
    <row r="91" spans="1:7" x14ac:dyDescent="0.25">
      <c r="A91" s="71">
        <v>90</v>
      </c>
      <c r="B91" s="72" t="s">
        <v>345</v>
      </c>
      <c r="C91" s="72" t="s">
        <v>346</v>
      </c>
      <c r="D91" s="72" t="s">
        <v>345</v>
      </c>
      <c r="E91" s="72" t="s">
        <v>44</v>
      </c>
      <c r="F91" s="73" t="s">
        <v>345</v>
      </c>
      <c r="G91" s="73" t="s">
        <v>188</v>
      </c>
    </row>
    <row r="92" spans="1:7" x14ac:dyDescent="0.25">
      <c r="A92" s="71">
        <v>91</v>
      </c>
      <c r="B92" s="72" t="s">
        <v>130</v>
      </c>
      <c r="C92" s="72" t="s">
        <v>347</v>
      </c>
      <c r="D92" s="72" t="s">
        <v>130</v>
      </c>
      <c r="E92" s="72" t="s">
        <v>35</v>
      </c>
      <c r="F92" s="73" t="s">
        <v>130</v>
      </c>
      <c r="G92" s="73" t="s">
        <v>188</v>
      </c>
    </row>
    <row r="93" spans="1:7" x14ac:dyDescent="0.25">
      <c r="A93" s="71">
        <v>92</v>
      </c>
      <c r="B93" s="72" t="s">
        <v>126</v>
      </c>
      <c r="C93" s="72" t="s">
        <v>348</v>
      </c>
      <c r="D93" s="72" t="s">
        <v>126</v>
      </c>
      <c r="E93" s="72" t="s">
        <v>39</v>
      </c>
      <c r="F93" s="73" t="s">
        <v>126</v>
      </c>
      <c r="G93" s="73" t="s">
        <v>188</v>
      </c>
    </row>
    <row r="94" spans="1:7" x14ac:dyDescent="0.25">
      <c r="A94" s="71">
        <v>93</v>
      </c>
      <c r="B94" s="72" t="s">
        <v>349</v>
      </c>
      <c r="C94" s="72" t="s">
        <v>350</v>
      </c>
      <c r="D94" s="72" t="s">
        <v>349</v>
      </c>
      <c r="E94" s="72" t="s">
        <v>39</v>
      </c>
      <c r="F94" s="73" t="s">
        <v>349</v>
      </c>
      <c r="G94" s="73" t="s">
        <v>188</v>
      </c>
    </row>
    <row r="95" spans="1:7" x14ac:dyDescent="0.25">
      <c r="A95" s="71">
        <v>94</v>
      </c>
      <c r="B95" s="72" t="s">
        <v>351</v>
      </c>
      <c r="C95" s="72" t="s">
        <v>352</v>
      </c>
      <c r="D95" s="72" t="s">
        <v>351</v>
      </c>
      <c r="E95" s="72" t="s">
        <v>35</v>
      </c>
      <c r="F95" s="73" t="s">
        <v>351</v>
      </c>
      <c r="G95" s="73" t="s">
        <v>188</v>
      </c>
    </row>
    <row r="96" spans="1:7" x14ac:dyDescent="0.25">
      <c r="A96" s="71">
        <v>95</v>
      </c>
      <c r="B96" s="72" t="s">
        <v>353</v>
      </c>
      <c r="C96" s="72" t="s">
        <v>354</v>
      </c>
      <c r="D96" s="72" t="s">
        <v>353</v>
      </c>
      <c r="E96" s="72" t="s">
        <v>39</v>
      </c>
      <c r="F96" s="73" t="s">
        <v>353</v>
      </c>
      <c r="G96" s="73" t="s">
        <v>188</v>
      </c>
    </row>
    <row r="97" spans="1:7" x14ac:dyDescent="0.25">
      <c r="A97" s="71">
        <v>96</v>
      </c>
      <c r="B97" s="72" t="s">
        <v>355</v>
      </c>
      <c r="C97" s="72" t="s">
        <v>356</v>
      </c>
      <c r="D97" s="72" t="s">
        <v>355</v>
      </c>
      <c r="E97" s="72" t="s">
        <v>39</v>
      </c>
      <c r="F97" s="73" t="s">
        <v>355</v>
      </c>
      <c r="G97" s="73" t="s">
        <v>188</v>
      </c>
    </row>
    <row r="98" spans="1:7" x14ac:dyDescent="0.25">
      <c r="A98" s="71">
        <v>97</v>
      </c>
      <c r="B98" s="72" t="s">
        <v>357</v>
      </c>
      <c r="C98" s="72" t="s">
        <v>358</v>
      </c>
      <c r="D98" s="72" t="s">
        <v>357</v>
      </c>
      <c r="E98" s="72" t="s">
        <v>35</v>
      </c>
      <c r="F98" s="73" t="s">
        <v>357</v>
      </c>
      <c r="G98" s="73" t="s">
        <v>188</v>
      </c>
    </row>
    <row r="99" spans="1:7" x14ac:dyDescent="0.25">
      <c r="A99" s="71">
        <v>98</v>
      </c>
      <c r="B99" s="72" t="s">
        <v>359</v>
      </c>
      <c r="C99" s="72" t="s">
        <v>360</v>
      </c>
      <c r="D99" s="72" t="s">
        <v>359</v>
      </c>
      <c r="E99" s="72" t="s">
        <v>39</v>
      </c>
      <c r="F99" s="73" t="s">
        <v>359</v>
      </c>
      <c r="G99" s="73" t="s">
        <v>188</v>
      </c>
    </row>
    <row r="100" spans="1:7" x14ac:dyDescent="0.25">
      <c r="A100" s="71">
        <v>99</v>
      </c>
      <c r="B100" s="72" t="s">
        <v>361</v>
      </c>
      <c r="C100" s="72" t="s">
        <v>362</v>
      </c>
      <c r="D100" s="72" t="s">
        <v>361</v>
      </c>
      <c r="E100" s="72" t="s">
        <v>39</v>
      </c>
      <c r="F100" s="73" t="s">
        <v>361</v>
      </c>
      <c r="G100" s="73" t="s">
        <v>188</v>
      </c>
    </row>
    <row r="101" spans="1:7" x14ac:dyDescent="0.25">
      <c r="A101" s="71">
        <v>100</v>
      </c>
      <c r="B101" s="72" t="s">
        <v>363</v>
      </c>
      <c r="C101" s="72" t="s">
        <v>364</v>
      </c>
      <c r="D101" s="72" t="s">
        <v>363</v>
      </c>
      <c r="E101" s="72" t="s">
        <v>39</v>
      </c>
      <c r="F101" s="73" t="s">
        <v>363</v>
      </c>
      <c r="G101" s="73" t="s">
        <v>188</v>
      </c>
    </row>
    <row r="102" spans="1:7" x14ac:dyDescent="0.25">
      <c r="A102" s="71">
        <v>101</v>
      </c>
      <c r="B102" s="72" t="s">
        <v>365</v>
      </c>
      <c r="C102" s="72" t="s">
        <v>366</v>
      </c>
      <c r="D102" s="72" t="s">
        <v>365</v>
      </c>
      <c r="E102" s="72" t="s">
        <v>39</v>
      </c>
      <c r="F102" s="73" t="s">
        <v>365</v>
      </c>
      <c r="G102" s="73" t="s">
        <v>188</v>
      </c>
    </row>
    <row r="103" spans="1:7" x14ac:dyDescent="0.25">
      <c r="A103" s="71">
        <v>102</v>
      </c>
      <c r="B103" s="72" t="s">
        <v>367</v>
      </c>
      <c r="C103" s="72" t="s">
        <v>368</v>
      </c>
      <c r="D103" s="72" t="s">
        <v>367</v>
      </c>
      <c r="E103" s="72" t="s">
        <v>35</v>
      </c>
      <c r="F103" s="73" t="s">
        <v>367</v>
      </c>
      <c r="G103" s="73" t="s">
        <v>188</v>
      </c>
    </row>
    <row r="104" spans="1:7" x14ac:dyDescent="0.25">
      <c r="A104" s="71">
        <v>103</v>
      </c>
      <c r="B104" s="72" t="s">
        <v>369</v>
      </c>
      <c r="C104" s="72" t="s">
        <v>370</v>
      </c>
      <c r="D104" s="72" t="s">
        <v>369</v>
      </c>
      <c r="E104" s="72" t="s">
        <v>39</v>
      </c>
      <c r="F104" s="73" t="s">
        <v>369</v>
      </c>
      <c r="G104" s="73" t="s">
        <v>188</v>
      </c>
    </row>
    <row r="105" spans="1:7" x14ac:dyDescent="0.25">
      <c r="A105" s="71">
        <v>104</v>
      </c>
      <c r="B105" s="72" t="s">
        <v>371</v>
      </c>
      <c r="C105" s="72" t="s">
        <v>372</v>
      </c>
      <c r="D105" s="72" t="s">
        <v>371</v>
      </c>
      <c r="E105" s="72" t="s">
        <v>39</v>
      </c>
      <c r="F105" s="73" t="s">
        <v>371</v>
      </c>
      <c r="G105" s="73" t="s">
        <v>188</v>
      </c>
    </row>
    <row r="106" spans="1:7" x14ac:dyDescent="0.25">
      <c r="A106" s="71">
        <v>105</v>
      </c>
      <c r="B106" s="72" t="s">
        <v>373</v>
      </c>
      <c r="C106" s="72" t="s">
        <v>374</v>
      </c>
      <c r="D106" s="72" t="s">
        <v>373</v>
      </c>
      <c r="E106" s="72" t="s">
        <v>39</v>
      </c>
      <c r="F106" s="73" t="s">
        <v>373</v>
      </c>
      <c r="G106" s="73" t="s">
        <v>188</v>
      </c>
    </row>
    <row r="107" spans="1:7" x14ac:dyDescent="0.25">
      <c r="A107" s="71">
        <v>106</v>
      </c>
      <c r="B107" s="72" t="s">
        <v>375</v>
      </c>
      <c r="C107" s="72" t="s">
        <v>376</v>
      </c>
      <c r="D107" s="72" t="s">
        <v>375</v>
      </c>
      <c r="E107" s="72" t="s">
        <v>39</v>
      </c>
      <c r="F107" s="73" t="s">
        <v>375</v>
      </c>
      <c r="G107" s="73" t="s">
        <v>188</v>
      </c>
    </row>
    <row r="108" spans="1:7" x14ac:dyDescent="0.25">
      <c r="A108" s="71">
        <v>107</v>
      </c>
      <c r="B108" s="72" t="s">
        <v>60</v>
      </c>
      <c r="C108" s="72" t="s">
        <v>377</v>
      </c>
      <c r="D108" s="72" t="s">
        <v>60</v>
      </c>
      <c r="E108" s="72" t="s">
        <v>46</v>
      </c>
      <c r="F108" s="73" t="s">
        <v>60</v>
      </c>
      <c r="G108" s="73" t="s">
        <v>188</v>
      </c>
    </row>
    <row r="109" spans="1:7" x14ac:dyDescent="0.25">
      <c r="A109" s="71">
        <v>108</v>
      </c>
      <c r="B109" s="72" t="s">
        <v>378</v>
      </c>
      <c r="C109" s="72" t="s">
        <v>379</v>
      </c>
      <c r="D109" s="72" t="s">
        <v>378</v>
      </c>
      <c r="E109" s="72" t="s">
        <v>35</v>
      </c>
      <c r="F109" s="73" t="s">
        <v>378</v>
      </c>
      <c r="G109" s="73" t="s">
        <v>188</v>
      </c>
    </row>
    <row r="110" spans="1:7" x14ac:dyDescent="0.25">
      <c r="A110" s="71">
        <v>109</v>
      </c>
      <c r="B110" s="72" t="s">
        <v>380</v>
      </c>
      <c r="C110" s="72" t="s">
        <v>381</v>
      </c>
      <c r="D110" s="72" t="s">
        <v>380</v>
      </c>
      <c r="E110" s="72" t="s">
        <v>41</v>
      </c>
      <c r="F110" s="73" t="s">
        <v>380</v>
      </c>
      <c r="G110" s="73" t="s">
        <v>188</v>
      </c>
    </row>
    <row r="111" spans="1:7" x14ac:dyDescent="0.25">
      <c r="A111" s="71">
        <v>110</v>
      </c>
      <c r="B111" s="72" t="s">
        <v>382</v>
      </c>
      <c r="C111" s="72" t="s">
        <v>383</v>
      </c>
      <c r="D111" s="72" t="s">
        <v>382</v>
      </c>
      <c r="E111" s="72" t="s">
        <v>39</v>
      </c>
      <c r="F111" s="73" t="s">
        <v>382</v>
      </c>
      <c r="G111" s="73" t="s">
        <v>188</v>
      </c>
    </row>
    <row r="112" spans="1:7" x14ac:dyDescent="0.25">
      <c r="A112" s="71">
        <v>111</v>
      </c>
      <c r="B112" s="72" t="s">
        <v>384</v>
      </c>
      <c r="C112" s="72" t="s">
        <v>385</v>
      </c>
      <c r="D112" s="72" t="s">
        <v>384</v>
      </c>
      <c r="E112" s="72" t="s">
        <v>39</v>
      </c>
      <c r="F112" s="73" t="s">
        <v>384</v>
      </c>
      <c r="G112" s="73" t="s">
        <v>188</v>
      </c>
    </row>
    <row r="113" spans="1:7" x14ac:dyDescent="0.25">
      <c r="A113" s="71">
        <v>112</v>
      </c>
      <c r="B113" s="72" t="s">
        <v>386</v>
      </c>
      <c r="C113" s="72" t="s">
        <v>387</v>
      </c>
      <c r="D113" s="72" t="s">
        <v>386</v>
      </c>
      <c r="E113" s="72" t="s">
        <v>35</v>
      </c>
      <c r="F113" s="73" t="s">
        <v>386</v>
      </c>
      <c r="G113" s="73" t="s">
        <v>188</v>
      </c>
    </row>
    <row r="114" spans="1:7" x14ac:dyDescent="0.25">
      <c r="A114" s="71">
        <v>113</v>
      </c>
      <c r="B114" s="72" t="s">
        <v>388</v>
      </c>
      <c r="C114" s="72" t="s">
        <v>389</v>
      </c>
      <c r="D114" s="72" t="s">
        <v>388</v>
      </c>
      <c r="E114" s="72" t="s">
        <v>35</v>
      </c>
      <c r="F114" s="73" t="s">
        <v>388</v>
      </c>
      <c r="G114" s="73" t="s">
        <v>188</v>
      </c>
    </row>
    <row r="115" spans="1:7" x14ac:dyDescent="0.25">
      <c r="A115" s="71">
        <v>114</v>
      </c>
      <c r="B115" s="72" t="s">
        <v>390</v>
      </c>
      <c r="C115" s="72" t="s">
        <v>391</v>
      </c>
      <c r="D115" s="72" t="s">
        <v>390</v>
      </c>
      <c r="E115" s="72" t="s">
        <v>35</v>
      </c>
      <c r="F115" s="73" t="s">
        <v>390</v>
      </c>
      <c r="G115" s="73" t="s">
        <v>188</v>
      </c>
    </row>
    <row r="116" spans="1:7" x14ac:dyDescent="0.25">
      <c r="A116" s="71">
        <v>115</v>
      </c>
      <c r="B116" s="72" t="s">
        <v>392</v>
      </c>
      <c r="C116" s="72" t="s">
        <v>393</v>
      </c>
      <c r="D116" s="72" t="s">
        <v>392</v>
      </c>
      <c r="E116" s="72" t="s">
        <v>39</v>
      </c>
      <c r="F116" s="73" t="s">
        <v>392</v>
      </c>
      <c r="G116" s="73" t="s">
        <v>188</v>
      </c>
    </row>
    <row r="117" spans="1:7" x14ac:dyDescent="0.25">
      <c r="A117" s="71">
        <v>116</v>
      </c>
      <c r="B117" s="72" t="s">
        <v>394</v>
      </c>
      <c r="C117" s="72" t="s">
        <v>395</v>
      </c>
      <c r="D117" s="72" t="s">
        <v>394</v>
      </c>
      <c r="E117" s="72" t="s">
        <v>35</v>
      </c>
      <c r="F117" s="73" t="s">
        <v>394</v>
      </c>
      <c r="G117" s="73" t="s">
        <v>188</v>
      </c>
    </row>
    <row r="118" spans="1:7" x14ac:dyDescent="0.25">
      <c r="A118" s="71">
        <v>117</v>
      </c>
      <c r="B118" s="72" t="s">
        <v>396</v>
      </c>
      <c r="C118" s="72" t="s">
        <v>397</v>
      </c>
      <c r="D118" s="72" t="s">
        <v>396</v>
      </c>
      <c r="E118" s="72" t="s">
        <v>35</v>
      </c>
      <c r="F118" s="73" t="s">
        <v>396</v>
      </c>
      <c r="G118" s="73" t="s">
        <v>188</v>
      </c>
    </row>
    <row r="119" spans="1:7" x14ac:dyDescent="0.25">
      <c r="A119" s="71">
        <v>118</v>
      </c>
      <c r="B119" s="72" t="s">
        <v>398</v>
      </c>
      <c r="C119" s="72" t="s">
        <v>399</v>
      </c>
      <c r="D119" s="72" t="s">
        <v>398</v>
      </c>
      <c r="E119" s="72" t="s">
        <v>39</v>
      </c>
      <c r="F119" s="73" t="s">
        <v>398</v>
      </c>
      <c r="G119" s="73" t="s">
        <v>188</v>
      </c>
    </row>
    <row r="120" spans="1:7" x14ac:dyDescent="0.25">
      <c r="A120" s="71">
        <v>119</v>
      </c>
      <c r="B120" s="72" t="s">
        <v>400</v>
      </c>
      <c r="C120" s="72" t="s">
        <v>401</v>
      </c>
      <c r="D120" s="72" t="s">
        <v>400</v>
      </c>
      <c r="E120" s="72" t="s">
        <v>48</v>
      </c>
      <c r="F120" s="73" t="s">
        <v>400</v>
      </c>
      <c r="G120" s="73" t="s">
        <v>402</v>
      </c>
    </row>
    <row r="121" spans="1:7" x14ac:dyDescent="0.25">
      <c r="A121" s="71">
        <v>120</v>
      </c>
      <c r="B121" s="72" t="s">
        <v>403</v>
      </c>
      <c r="C121" s="72" t="s">
        <v>404</v>
      </c>
      <c r="D121" s="72" t="s">
        <v>403</v>
      </c>
      <c r="E121" s="72" t="s">
        <v>35</v>
      </c>
      <c r="F121" s="73" t="s">
        <v>403</v>
      </c>
      <c r="G121" s="73" t="s">
        <v>188</v>
      </c>
    </row>
    <row r="122" spans="1:7" x14ac:dyDescent="0.25">
      <c r="A122" s="71">
        <v>121</v>
      </c>
      <c r="B122" s="72" t="s">
        <v>405</v>
      </c>
      <c r="C122" s="72" t="s">
        <v>406</v>
      </c>
      <c r="D122" s="72" t="s">
        <v>405</v>
      </c>
      <c r="E122" s="72" t="s">
        <v>35</v>
      </c>
      <c r="F122" s="73" t="s">
        <v>405</v>
      </c>
      <c r="G122" s="73" t="s">
        <v>188</v>
      </c>
    </row>
    <row r="123" spans="1:7" x14ac:dyDescent="0.25">
      <c r="A123" s="71">
        <v>122</v>
      </c>
      <c r="B123" s="72" t="s">
        <v>69</v>
      </c>
      <c r="C123" s="72" t="s">
        <v>407</v>
      </c>
      <c r="D123" s="72" t="s">
        <v>69</v>
      </c>
      <c r="E123" s="72" t="s">
        <v>39</v>
      </c>
      <c r="F123" s="73" t="s">
        <v>69</v>
      </c>
      <c r="G123" s="73" t="s">
        <v>188</v>
      </c>
    </row>
    <row r="124" spans="1:7" x14ac:dyDescent="0.25">
      <c r="A124" s="71">
        <v>123</v>
      </c>
      <c r="B124" s="72" t="s">
        <v>408</v>
      </c>
      <c r="C124" s="72" t="s">
        <v>409</v>
      </c>
      <c r="D124" s="72" t="s">
        <v>408</v>
      </c>
      <c r="E124" s="72" t="s">
        <v>35</v>
      </c>
      <c r="F124" s="73" t="s">
        <v>408</v>
      </c>
      <c r="G124" s="73" t="s">
        <v>188</v>
      </c>
    </row>
    <row r="125" spans="1:7" x14ac:dyDescent="0.25">
      <c r="A125" s="71">
        <v>124</v>
      </c>
      <c r="B125" s="72" t="s">
        <v>410</v>
      </c>
      <c r="C125" s="72" t="s">
        <v>411</v>
      </c>
      <c r="D125" s="72" t="s">
        <v>410</v>
      </c>
      <c r="E125" s="72" t="s">
        <v>48</v>
      </c>
      <c r="F125" s="73" t="s">
        <v>410</v>
      </c>
      <c r="G125" s="73" t="s">
        <v>402</v>
      </c>
    </row>
    <row r="126" spans="1:7" x14ac:dyDescent="0.25">
      <c r="A126" s="71">
        <v>125</v>
      </c>
      <c r="B126" s="72" t="s">
        <v>412</v>
      </c>
      <c r="C126" s="72" t="s">
        <v>413</v>
      </c>
      <c r="D126" s="72" t="s">
        <v>412</v>
      </c>
      <c r="E126" s="72" t="s">
        <v>39</v>
      </c>
      <c r="F126" s="73" t="s">
        <v>412</v>
      </c>
      <c r="G126" s="73" t="s">
        <v>188</v>
      </c>
    </row>
    <row r="127" spans="1:7" x14ac:dyDescent="0.25">
      <c r="A127" s="71">
        <v>126</v>
      </c>
      <c r="B127" s="72" t="s">
        <v>414</v>
      </c>
      <c r="C127" s="72" t="s">
        <v>415</v>
      </c>
      <c r="D127" s="72" t="s">
        <v>414</v>
      </c>
      <c r="E127" s="72" t="s">
        <v>48</v>
      </c>
      <c r="F127" s="73" t="s">
        <v>414</v>
      </c>
      <c r="G127" s="73" t="s">
        <v>402</v>
      </c>
    </row>
    <row r="128" spans="1:7" x14ac:dyDescent="0.25">
      <c r="A128" s="71">
        <v>127</v>
      </c>
      <c r="B128" s="72" t="s">
        <v>416</v>
      </c>
      <c r="C128" s="72" t="s">
        <v>417</v>
      </c>
      <c r="D128" s="72" t="s">
        <v>416</v>
      </c>
      <c r="E128" s="72" t="s">
        <v>39</v>
      </c>
      <c r="F128" s="73" t="s">
        <v>416</v>
      </c>
      <c r="G128" s="73" t="s">
        <v>188</v>
      </c>
    </row>
    <row r="129" spans="1:7" x14ac:dyDescent="0.25">
      <c r="A129" s="71">
        <v>128</v>
      </c>
      <c r="B129" s="72" t="s">
        <v>418</v>
      </c>
      <c r="C129" s="72" t="s">
        <v>419</v>
      </c>
      <c r="D129" s="72" t="s">
        <v>418</v>
      </c>
      <c r="E129" s="72" t="s">
        <v>35</v>
      </c>
      <c r="F129" s="73" t="s">
        <v>418</v>
      </c>
      <c r="G129" s="73" t="s">
        <v>188</v>
      </c>
    </row>
    <row r="130" spans="1:7" x14ac:dyDescent="0.25">
      <c r="A130" s="71">
        <v>129</v>
      </c>
      <c r="B130" s="72" t="s">
        <v>420</v>
      </c>
      <c r="C130" s="72" t="s">
        <v>421</v>
      </c>
      <c r="D130" s="72" t="s">
        <v>420</v>
      </c>
      <c r="E130" s="72" t="s">
        <v>48</v>
      </c>
      <c r="F130" s="73" t="s">
        <v>420</v>
      </c>
      <c r="G130" s="73" t="s">
        <v>402</v>
      </c>
    </row>
    <row r="131" spans="1:7" x14ac:dyDescent="0.25">
      <c r="A131" s="71">
        <v>130</v>
      </c>
      <c r="B131" s="72" t="s">
        <v>422</v>
      </c>
      <c r="C131" s="72" t="s">
        <v>423</v>
      </c>
      <c r="D131" s="72" t="s">
        <v>422</v>
      </c>
      <c r="E131" s="72" t="s">
        <v>48</v>
      </c>
      <c r="F131" s="73" t="s">
        <v>422</v>
      </c>
      <c r="G131" s="73" t="s">
        <v>402</v>
      </c>
    </row>
    <row r="132" spans="1:7" x14ac:dyDescent="0.25">
      <c r="A132" s="71">
        <v>131</v>
      </c>
      <c r="B132" s="72" t="s">
        <v>424</v>
      </c>
      <c r="C132" s="72" t="s">
        <v>425</v>
      </c>
      <c r="D132" s="72" t="s">
        <v>424</v>
      </c>
      <c r="E132" s="72" t="s">
        <v>39</v>
      </c>
      <c r="F132" s="73" t="s">
        <v>424</v>
      </c>
      <c r="G132" s="73" t="s">
        <v>188</v>
      </c>
    </row>
    <row r="133" spans="1:7" x14ac:dyDescent="0.25">
      <c r="A133" s="71">
        <v>132</v>
      </c>
      <c r="B133" s="72" t="s">
        <v>426</v>
      </c>
      <c r="C133" s="72" t="s">
        <v>427</v>
      </c>
      <c r="D133" s="72" t="s">
        <v>426</v>
      </c>
      <c r="E133" s="72" t="s">
        <v>39</v>
      </c>
      <c r="F133" s="73" t="s">
        <v>426</v>
      </c>
      <c r="G133" s="73" t="s">
        <v>188</v>
      </c>
    </row>
    <row r="134" spans="1:7" x14ac:dyDescent="0.25">
      <c r="A134" s="71">
        <v>133</v>
      </c>
      <c r="B134" s="72" t="s">
        <v>428</v>
      </c>
      <c r="C134" s="72" t="s">
        <v>429</v>
      </c>
      <c r="D134" s="72" t="s">
        <v>428</v>
      </c>
      <c r="E134" s="72" t="s">
        <v>35</v>
      </c>
      <c r="F134" s="73" t="s">
        <v>428</v>
      </c>
      <c r="G134" s="73" t="s">
        <v>188</v>
      </c>
    </row>
    <row r="135" spans="1:7" x14ac:dyDescent="0.25">
      <c r="A135" s="71">
        <v>134</v>
      </c>
      <c r="B135" s="72" t="s">
        <v>430</v>
      </c>
      <c r="C135" s="72" t="s">
        <v>431</v>
      </c>
      <c r="D135" s="72" t="s">
        <v>430</v>
      </c>
      <c r="E135" s="72" t="s">
        <v>35</v>
      </c>
      <c r="F135" s="73" t="s">
        <v>430</v>
      </c>
      <c r="G135" s="73" t="s">
        <v>188</v>
      </c>
    </row>
    <row r="136" spans="1:7" x14ac:dyDescent="0.25">
      <c r="A136" s="71">
        <v>135</v>
      </c>
      <c r="B136" s="72" t="s">
        <v>432</v>
      </c>
      <c r="C136" s="72" t="s">
        <v>433</v>
      </c>
      <c r="D136" s="72" t="s">
        <v>432</v>
      </c>
      <c r="E136" s="72" t="s">
        <v>35</v>
      </c>
      <c r="F136" s="73" t="s">
        <v>432</v>
      </c>
      <c r="G136" s="73" t="s">
        <v>188</v>
      </c>
    </row>
    <row r="137" spans="1:7" x14ac:dyDescent="0.25">
      <c r="A137" s="71">
        <v>136</v>
      </c>
      <c r="B137" s="72" t="s">
        <v>434</v>
      </c>
      <c r="C137" s="72" t="s">
        <v>435</v>
      </c>
      <c r="D137" s="72" t="s">
        <v>434</v>
      </c>
      <c r="E137" s="72" t="s">
        <v>35</v>
      </c>
      <c r="F137" s="73" t="s">
        <v>434</v>
      </c>
      <c r="G137" s="73" t="s">
        <v>188</v>
      </c>
    </row>
    <row r="138" spans="1:7" x14ac:dyDescent="0.25">
      <c r="A138" s="71">
        <v>137</v>
      </c>
      <c r="B138" s="72" t="s">
        <v>436</v>
      </c>
      <c r="C138" s="72" t="s">
        <v>437</v>
      </c>
      <c r="D138" s="72" t="s">
        <v>436</v>
      </c>
      <c r="E138" s="72" t="s">
        <v>39</v>
      </c>
      <c r="F138" s="73" t="s">
        <v>436</v>
      </c>
      <c r="G138" s="73" t="s">
        <v>188</v>
      </c>
    </row>
    <row r="139" spans="1:7" x14ac:dyDescent="0.25">
      <c r="A139" s="71">
        <v>138</v>
      </c>
      <c r="B139" s="72" t="s">
        <v>438</v>
      </c>
      <c r="C139" s="72" t="s">
        <v>439</v>
      </c>
      <c r="D139" s="72" t="s">
        <v>438</v>
      </c>
      <c r="E139" s="72" t="s">
        <v>35</v>
      </c>
      <c r="F139" s="73" t="s">
        <v>438</v>
      </c>
      <c r="G139" s="73" t="s">
        <v>188</v>
      </c>
    </row>
    <row r="140" spans="1:7" x14ac:dyDescent="0.25">
      <c r="A140" s="71">
        <v>139</v>
      </c>
      <c r="B140" s="72" t="s">
        <v>440</v>
      </c>
      <c r="C140" s="72" t="s">
        <v>441</v>
      </c>
      <c r="D140" s="72" t="s">
        <v>440</v>
      </c>
      <c r="E140" s="72" t="s">
        <v>39</v>
      </c>
      <c r="F140" s="73" t="s">
        <v>440</v>
      </c>
      <c r="G140" s="73" t="s">
        <v>188</v>
      </c>
    </row>
    <row r="141" spans="1:7" x14ac:dyDescent="0.25">
      <c r="A141" s="71">
        <v>140</v>
      </c>
      <c r="B141" s="72" t="s">
        <v>442</v>
      </c>
      <c r="C141" s="72" t="s">
        <v>443</v>
      </c>
      <c r="D141" s="72" t="s">
        <v>442</v>
      </c>
      <c r="E141" s="72" t="s">
        <v>35</v>
      </c>
      <c r="F141" s="73" t="s">
        <v>442</v>
      </c>
      <c r="G141" s="73" t="s">
        <v>188</v>
      </c>
    </row>
    <row r="142" spans="1:7" x14ac:dyDescent="0.25">
      <c r="A142" s="71">
        <v>141</v>
      </c>
      <c r="B142" s="72" t="s">
        <v>444</v>
      </c>
      <c r="C142" s="72" t="s">
        <v>445</v>
      </c>
      <c r="D142" s="72" t="s">
        <v>444</v>
      </c>
      <c r="E142" s="72" t="s">
        <v>39</v>
      </c>
      <c r="F142" s="73" t="s">
        <v>444</v>
      </c>
      <c r="G142" s="73" t="s">
        <v>188</v>
      </c>
    </row>
    <row r="143" spans="1:7" x14ac:dyDescent="0.25">
      <c r="A143" s="71">
        <v>142</v>
      </c>
      <c r="B143" s="72" t="s">
        <v>446</v>
      </c>
      <c r="C143" s="72" t="s">
        <v>447</v>
      </c>
      <c r="D143" s="72" t="s">
        <v>446</v>
      </c>
      <c r="E143" s="72" t="s">
        <v>45</v>
      </c>
      <c r="F143" s="73" t="s">
        <v>446</v>
      </c>
      <c r="G143" s="73" t="s">
        <v>188</v>
      </c>
    </row>
    <row r="144" spans="1:7" x14ac:dyDescent="0.25">
      <c r="A144" s="71">
        <v>143</v>
      </c>
      <c r="B144" s="72" t="s">
        <v>448</v>
      </c>
      <c r="C144" s="72" t="s">
        <v>449</v>
      </c>
      <c r="D144" s="72" t="s">
        <v>448</v>
      </c>
      <c r="E144" s="72" t="s">
        <v>35</v>
      </c>
      <c r="F144" s="73" t="s">
        <v>448</v>
      </c>
      <c r="G144" s="73" t="s">
        <v>188</v>
      </c>
    </row>
    <row r="145" spans="1:7" x14ac:dyDescent="0.25">
      <c r="A145" s="71">
        <v>144</v>
      </c>
      <c r="B145" s="72" t="s">
        <v>450</v>
      </c>
      <c r="C145" s="72" t="s">
        <v>451</v>
      </c>
      <c r="D145" s="72" t="s">
        <v>450</v>
      </c>
      <c r="E145" s="72" t="s">
        <v>35</v>
      </c>
      <c r="F145" s="73" t="s">
        <v>450</v>
      </c>
      <c r="G145" s="73" t="s">
        <v>188</v>
      </c>
    </row>
    <row r="146" spans="1:7" x14ac:dyDescent="0.25">
      <c r="A146" s="71">
        <v>145</v>
      </c>
      <c r="B146" s="72" t="s">
        <v>452</v>
      </c>
      <c r="C146" s="72" t="s">
        <v>453</v>
      </c>
      <c r="D146" s="72" t="s">
        <v>452</v>
      </c>
      <c r="E146" s="72" t="s">
        <v>35</v>
      </c>
      <c r="F146" s="73" t="s">
        <v>452</v>
      </c>
      <c r="G146" s="73" t="s">
        <v>188</v>
      </c>
    </row>
    <row r="147" spans="1:7" x14ac:dyDescent="0.25">
      <c r="A147" s="71">
        <v>146</v>
      </c>
      <c r="B147" s="72" t="s">
        <v>454</v>
      </c>
      <c r="C147" s="72" t="s">
        <v>455</v>
      </c>
      <c r="D147" s="72" t="s">
        <v>454</v>
      </c>
      <c r="E147" s="72" t="s">
        <v>39</v>
      </c>
      <c r="F147" s="73" t="s">
        <v>454</v>
      </c>
      <c r="G147" s="73" t="s">
        <v>188</v>
      </c>
    </row>
    <row r="148" spans="1:7" x14ac:dyDescent="0.25">
      <c r="A148" s="71">
        <v>147</v>
      </c>
      <c r="B148" s="72" t="s">
        <v>456</v>
      </c>
      <c r="C148" s="72" t="s">
        <v>457</v>
      </c>
      <c r="D148" s="72" t="s">
        <v>456</v>
      </c>
      <c r="E148" s="72" t="s">
        <v>35</v>
      </c>
      <c r="F148" s="73" t="s">
        <v>456</v>
      </c>
      <c r="G148" s="73" t="s">
        <v>188</v>
      </c>
    </row>
    <row r="149" spans="1:7" x14ac:dyDescent="0.25">
      <c r="A149" s="71">
        <v>148</v>
      </c>
      <c r="B149" s="72" t="s">
        <v>458</v>
      </c>
      <c r="C149" s="72" t="s">
        <v>459</v>
      </c>
      <c r="D149" s="72" t="s">
        <v>458</v>
      </c>
      <c r="E149" s="72" t="s">
        <v>49</v>
      </c>
      <c r="F149" s="73" t="s">
        <v>458</v>
      </c>
      <c r="G149" s="73" t="s">
        <v>460</v>
      </c>
    </row>
    <row r="150" spans="1:7" x14ac:dyDescent="0.25">
      <c r="A150" s="71">
        <v>149</v>
      </c>
      <c r="B150" s="72" t="s">
        <v>461</v>
      </c>
      <c r="C150" s="72" t="s">
        <v>462</v>
      </c>
      <c r="D150" s="72" t="s">
        <v>461</v>
      </c>
      <c r="E150" s="72" t="s">
        <v>39</v>
      </c>
      <c r="F150" s="73" t="s">
        <v>461</v>
      </c>
      <c r="G150" s="73" t="s">
        <v>188</v>
      </c>
    </row>
    <row r="151" spans="1:7" x14ac:dyDescent="0.25">
      <c r="A151" s="71">
        <v>150</v>
      </c>
      <c r="B151" s="72" t="s">
        <v>463</v>
      </c>
      <c r="C151" s="72" t="s">
        <v>464</v>
      </c>
      <c r="D151" s="72" t="s">
        <v>463</v>
      </c>
      <c r="E151" s="72" t="s">
        <v>49</v>
      </c>
      <c r="F151" s="73" t="s">
        <v>463</v>
      </c>
      <c r="G151" s="73" t="s">
        <v>460</v>
      </c>
    </row>
    <row r="152" spans="1:7" x14ac:dyDescent="0.25">
      <c r="A152" s="71">
        <v>151</v>
      </c>
      <c r="B152" s="72" t="s">
        <v>465</v>
      </c>
      <c r="C152" s="72" t="s">
        <v>466</v>
      </c>
      <c r="D152" s="72" t="s">
        <v>465</v>
      </c>
      <c r="E152" s="72" t="s">
        <v>39</v>
      </c>
      <c r="F152" s="73" t="s">
        <v>465</v>
      </c>
      <c r="G152" s="73" t="s">
        <v>188</v>
      </c>
    </row>
    <row r="153" spans="1:7" x14ac:dyDescent="0.25">
      <c r="A153" s="71">
        <v>152</v>
      </c>
      <c r="B153" s="72" t="s">
        <v>467</v>
      </c>
      <c r="C153" s="72" t="s">
        <v>468</v>
      </c>
      <c r="D153" s="72" t="s">
        <v>467</v>
      </c>
      <c r="E153" s="72" t="s">
        <v>35</v>
      </c>
      <c r="F153" s="73" t="s">
        <v>467</v>
      </c>
      <c r="G153" s="73" t="s">
        <v>188</v>
      </c>
    </row>
    <row r="154" spans="1:7" x14ac:dyDescent="0.25">
      <c r="A154" s="71">
        <v>153</v>
      </c>
      <c r="B154" s="72" t="s">
        <v>469</v>
      </c>
      <c r="C154" s="72" t="s">
        <v>470</v>
      </c>
      <c r="D154" s="72" t="s">
        <v>469</v>
      </c>
      <c r="E154" s="72" t="s">
        <v>39</v>
      </c>
      <c r="F154" s="73" t="s">
        <v>469</v>
      </c>
      <c r="G154" s="73" t="s">
        <v>188</v>
      </c>
    </row>
    <row r="155" spans="1:7" x14ac:dyDescent="0.25">
      <c r="A155" s="71">
        <v>154</v>
      </c>
      <c r="B155" s="72" t="s">
        <v>471</v>
      </c>
      <c r="C155" s="72" t="s">
        <v>472</v>
      </c>
      <c r="D155" s="72" t="s">
        <v>471</v>
      </c>
      <c r="E155" s="72" t="s">
        <v>49</v>
      </c>
      <c r="F155" s="73" t="s">
        <v>471</v>
      </c>
      <c r="G155" s="73" t="s">
        <v>460</v>
      </c>
    </row>
    <row r="156" spans="1:7" x14ac:dyDescent="0.25">
      <c r="A156" s="71">
        <v>155</v>
      </c>
      <c r="B156" s="72" t="s">
        <v>473</v>
      </c>
      <c r="C156" s="72" t="s">
        <v>474</v>
      </c>
      <c r="D156" s="72" t="s">
        <v>473</v>
      </c>
      <c r="E156" s="72" t="s">
        <v>48</v>
      </c>
      <c r="F156" s="73" t="s">
        <v>473</v>
      </c>
      <c r="G156" s="73" t="s">
        <v>402</v>
      </c>
    </row>
    <row r="157" spans="1:7" x14ac:dyDescent="0.25">
      <c r="A157" s="71">
        <v>156</v>
      </c>
      <c r="B157" s="72" t="s">
        <v>475</v>
      </c>
      <c r="C157" s="72" t="s">
        <v>476</v>
      </c>
      <c r="D157" s="72" t="s">
        <v>475</v>
      </c>
      <c r="E157" s="72" t="s">
        <v>49</v>
      </c>
      <c r="F157" s="73" t="s">
        <v>475</v>
      </c>
      <c r="G157" s="73" t="s">
        <v>460</v>
      </c>
    </row>
    <row r="158" spans="1:7" x14ac:dyDescent="0.25">
      <c r="A158" s="71">
        <v>157</v>
      </c>
      <c r="B158" s="72" t="s">
        <v>477</v>
      </c>
      <c r="C158" s="72" t="s">
        <v>478</v>
      </c>
      <c r="D158" s="72" t="s">
        <v>477</v>
      </c>
      <c r="E158" s="72" t="s">
        <v>35</v>
      </c>
      <c r="F158" s="73" t="s">
        <v>477</v>
      </c>
      <c r="G158" s="73" t="s">
        <v>188</v>
      </c>
    </row>
    <row r="159" spans="1:7" x14ac:dyDescent="0.25">
      <c r="A159" s="71">
        <v>158</v>
      </c>
      <c r="B159" s="72" t="s">
        <v>95</v>
      </c>
      <c r="C159" s="72" t="s">
        <v>479</v>
      </c>
      <c r="D159" s="72" t="s">
        <v>95</v>
      </c>
      <c r="E159" s="72" t="s">
        <v>35</v>
      </c>
      <c r="F159" s="73" t="s">
        <v>95</v>
      </c>
      <c r="G159" s="73" t="s">
        <v>188</v>
      </c>
    </row>
    <row r="160" spans="1:7" x14ac:dyDescent="0.25">
      <c r="A160" s="71">
        <v>159</v>
      </c>
      <c r="B160" s="72" t="s">
        <v>480</v>
      </c>
      <c r="C160" s="72" t="s">
        <v>481</v>
      </c>
      <c r="D160" s="72" t="s">
        <v>480</v>
      </c>
      <c r="E160" s="72" t="s">
        <v>39</v>
      </c>
      <c r="F160" s="73" t="s">
        <v>480</v>
      </c>
      <c r="G160" s="73" t="s">
        <v>188</v>
      </c>
    </row>
    <row r="161" spans="1:7" x14ac:dyDescent="0.25">
      <c r="A161" s="71">
        <v>160</v>
      </c>
      <c r="B161" s="72" t="s">
        <v>482</v>
      </c>
      <c r="C161" s="72" t="s">
        <v>483</v>
      </c>
      <c r="D161" s="72" t="s">
        <v>482</v>
      </c>
      <c r="E161" s="72" t="s">
        <v>49</v>
      </c>
      <c r="F161" s="73" t="s">
        <v>482</v>
      </c>
      <c r="G161" s="73" t="s">
        <v>460</v>
      </c>
    </row>
    <row r="162" spans="1:7" x14ac:dyDescent="0.25">
      <c r="A162" s="71">
        <v>161</v>
      </c>
      <c r="B162" s="72" t="s">
        <v>484</v>
      </c>
      <c r="C162" s="72" t="s">
        <v>485</v>
      </c>
      <c r="D162" s="72" t="s">
        <v>484</v>
      </c>
      <c r="E162" s="72" t="s">
        <v>49</v>
      </c>
      <c r="F162" s="73" t="s">
        <v>484</v>
      </c>
      <c r="G162" s="73" t="s">
        <v>460</v>
      </c>
    </row>
    <row r="163" spans="1:7" x14ac:dyDescent="0.25">
      <c r="A163" s="71">
        <v>162</v>
      </c>
      <c r="B163" s="72" t="s">
        <v>486</v>
      </c>
      <c r="C163" s="72" t="s">
        <v>487</v>
      </c>
      <c r="D163" s="72" t="s">
        <v>486</v>
      </c>
      <c r="E163" s="72" t="s">
        <v>49</v>
      </c>
      <c r="F163" s="73" t="s">
        <v>486</v>
      </c>
      <c r="G163" s="73" t="s">
        <v>460</v>
      </c>
    </row>
    <row r="164" spans="1:7" x14ac:dyDescent="0.25">
      <c r="A164" s="71">
        <v>163</v>
      </c>
      <c r="B164" s="72" t="s">
        <v>488</v>
      </c>
      <c r="C164" s="72" t="s">
        <v>489</v>
      </c>
      <c r="D164" s="72" t="s">
        <v>488</v>
      </c>
      <c r="E164" s="72" t="s">
        <v>48</v>
      </c>
      <c r="F164" s="73" t="s">
        <v>488</v>
      </c>
      <c r="G164" s="73" t="s">
        <v>402</v>
      </c>
    </row>
    <row r="165" spans="1:7" x14ac:dyDescent="0.25">
      <c r="A165" s="71">
        <v>164</v>
      </c>
      <c r="B165" s="72" t="s">
        <v>490</v>
      </c>
      <c r="C165" s="72" t="s">
        <v>491</v>
      </c>
      <c r="D165" s="72" t="s">
        <v>490</v>
      </c>
      <c r="E165" s="72" t="s">
        <v>41</v>
      </c>
      <c r="F165" s="73" t="s">
        <v>490</v>
      </c>
      <c r="G165" s="73" t="s">
        <v>188</v>
      </c>
    </row>
    <row r="166" spans="1:7" x14ac:dyDescent="0.25">
      <c r="A166" s="71">
        <v>165</v>
      </c>
      <c r="B166" s="72" t="s">
        <v>492</v>
      </c>
      <c r="C166" s="72" t="s">
        <v>493</v>
      </c>
      <c r="D166" s="72" t="s">
        <v>492</v>
      </c>
      <c r="E166" s="72" t="s">
        <v>48</v>
      </c>
      <c r="F166" s="73" t="s">
        <v>492</v>
      </c>
      <c r="G166" s="73" t="s">
        <v>402</v>
      </c>
    </row>
    <row r="167" spans="1:7" x14ac:dyDescent="0.25">
      <c r="A167" s="71">
        <v>166</v>
      </c>
      <c r="B167" s="72" t="s">
        <v>494</v>
      </c>
      <c r="C167" s="72" t="s">
        <v>495</v>
      </c>
      <c r="D167" s="72" t="s">
        <v>494</v>
      </c>
      <c r="E167" s="72" t="s">
        <v>48</v>
      </c>
      <c r="F167" s="73" t="s">
        <v>494</v>
      </c>
      <c r="G167" s="73" t="s">
        <v>402</v>
      </c>
    </row>
    <row r="168" spans="1:7" x14ac:dyDescent="0.25">
      <c r="A168" s="71">
        <v>167</v>
      </c>
      <c r="B168" s="72" t="s">
        <v>496</v>
      </c>
      <c r="C168" s="72" t="s">
        <v>497</v>
      </c>
      <c r="D168" s="72" t="s">
        <v>496</v>
      </c>
      <c r="E168" s="72" t="s">
        <v>49</v>
      </c>
      <c r="F168" s="73" t="s">
        <v>496</v>
      </c>
      <c r="G168" s="73" t="s">
        <v>460</v>
      </c>
    </row>
    <row r="169" spans="1:7" x14ac:dyDescent="0.25">
      <c r="A169" s="71">
        <v>168</v>
      </c>
      <c r="B169" s="72" t="s">
        <v>498</v>
      </c>
      <c r="C169" s="72" t="s">
        <v>499</v>
      </c>
      <c r="D169" s="72" t="s">
        <v>498</v>
      </c>
      <c r="E169" s="72" t="s">
        <v>49</v>
      </c>
      <c r="F169" s="73" t="s">
        <v>498</v>
      </c>
      <c r="G169" s="73" t="s">
        <v>460</v>
      </c>
    </row>
    <row r="170" spans="1:7" x14ac:dyDescent="0.25">
      <c r="A170" s="71">
        <v>169</v>
      </c>
      <c r="B170" s="72" t="s">
        <v>500</v>
      </c>
      <c r="C170" s="72" t="s">
        <v>501</v>
      </c>
      <c r="D170" s="72" t="s">
        <v>500</v>
      </c>
      <c r="E170" s="72" t="s">
        <v>48</v>
      </c>
      <c r="F170" s="73" t="s">
        <v>500</v>
      </c>
      <c r="G170" s="73" t="s">
        <v>402</v>
      </c>
    </row>
    <row r="171" spans="1:7" x14ac:dyDescent="0.25">
      <c r="A171" s="71">
        <v>170</v>
      </c>
      <c r="B171" s="72" t="s">
        <v>502</v>
      </c>
      <c r="C171" s="72" t="s">
        <v>503</v>
      </c>
      <c r="D171" s="72" t="s">
        <v>502</v>
      </c>
      <c r="E171" s="72" t="s">
        <v>49</v>
      </c>
      <c r="F171" s="73" t="s">
        <v>502</v>
      </c>
      <c r="G171" s="73" t="s">
        <v>460</v>
      </c>
    </row>
    <row r="172" spans="1:7" x14ac:dyDescent="0.25">
      <c r="A172" s="71">
        <v>171</v>
      </c>
      <c r="B172" s="72" t="s">
        <v>504</v>
      </c>
      <c r="C172" s="72" t="s">
        <v>505</v>
      </c>
      <c r="D172" s="72" t="s">
        <v>504</v>
      </c>
      <c r="E172" s="72" t="s">
        <v>49</v>
      </c>
      <c r="F172" s="73" t="s">
        <v>504</v>
      </c>
      <c r="G172" s="73" t="s">
        <v>460</v>
      </c>
    </row>
    <row r="173" spans="1:7" x14ac:dyDescent="0.25">
      <c r="A173" s="71">
        <v>172</v>
      </c>
      <c r="B173" s="72" t="s">
        <v>506</v>
      </c>
      <c r="C173" s="72" t="s">
        <v>507</v>
      </c>
      <c r="D173" s="72" t="s">
        <v>506</v>
      </c>
      <c r="E173" s="72" t="s">
        <v>49</v>
      </c>
      <c r="F173" s="73" t="s">
        <v>506</v>
      </c>
      <c r="G173" s="73" t="s">
        <v>460</v>
      </c>
    </row>
    <row r="174" spans="1:7" x14ac:dyDescent="0.25">
      <c r="A174" s="71">
        <v>173</v>
      </c>
      <c r="B174" s="72" t="s">
        <v>508</v>
      </c>
      <c r="C174" s="72" t="s">
        <v>509</v>
      </c>
      <c r="D174" s="72" t="s">
        <v>508</v>
      </c>
      <c r="E174" s="72" t="s">
        <v>49</v>
      </c>
      <c r="F174" s="73" t="s">
        <v>508</v>
      </c>
      <c r="G174" s="73" t="s">
        <v>460</v>
      </c>
    </row>
    <row r="175" spans="1:7" x14ac:dyDescent="0.25">
      <c r="A175" s="71">
        <v>174</v>
      </c>
      <c r="B175" s="72" t="s">
        <v>510</v>
      </c>
      <c r="C175" s="72" t="s">
        <v>511</v>
      </c>
      <c r="D175" s="72" t="s">
        <v>510</v>
      </c>
      <c r="E175" s="72" t="s">
        <v>30</v>
      </c>
      <c r="F175" s="73" t="s">
        <v>510</v>
      </c>
      <c r="G175" s="73" t="s">
        <v>460</v>
      </c>
    </row>
    <row r="176" spans="1:7" x14ac:dyDescent="0.25">
      <c r="A176" s="71">
        <v>175</v>
      </c>
      <c r="B176" s="72" t="s">
        <v>512</v>
      </c>
      <c r="C176" s="72" t="s">
        <v>513</v>
      </c>
      <c r="D176" s="72" t="s">
        <v>512</v>
      </c>
      <c r="E176" s="72" t="s">
        <v>49</v>
      </c>
      <c r="F176" s="73" t="s">
        <v>512</v>
      </c>
      <c r="G176" s="73" t="s">
        <v>460</v>
      </c>
    </row>
    <row r="177" spans="1:7" x14ac:dyDescent="0.25">
      <c r="A177" s="71">
        <v>176</v>
      </c>
      <c r="B177" s="72" t="s">
        <v>514</v>
      </c>
      <c r="C177" s="72" t="s">
        <v>515</v>
      </c>
      <c r="D177" s="72" t="s">
        <v>514</v>
      </c>
      <c r="E177" s="72" t="s">
        <v>48</v>
      </c>
      <c r="F177" s="73" t="s">
        <v>514</v>
      </c>
      <c r="G177" s="73" t="s">
        <v>402</v>
      </c>
    </row>
    <row r="178" spans="1:7" x14ac:dyDescent="0.25">
      <c r="A178" s="71">
        <v>177</v>
      </c>
      <c r="B178" s="72" t="s">
        <v>516</v>
      </c>
      <c r="C178" s="72" t="s">
        <v>517</v>
      </c>
      <c r="D178" s="72" t="s">
        <v>516</v>
      </c>
      <c r="E178" s="72" t="s">
        <v>49</v>
      </c>
      <c r="F178" s="73" t="s">
        <v>516</v>
      </c>
      <c r="G178" s="73" t="s">
        <v>460</v>
      </c>
    </row>
    <row r="179" spans="1:7" x14ac:dyDescent="0.25">
      <c r="A179" s="71">
        <v>178</v>
      </c>
      <c r="B179" s="72" t="s">
        <v>518</v>
      </c>
      <c r="C179" s="72" t="s">
        <v>519</v>
      </c>
      <c r="D179" s="72" t="s">
        <v>518</v>
      </c>
      <c r="E179" s="72" t="s">
        <v>49</v>
      </c>
      <c r="F179" s="73" t="s">
        <v>518</v>
      </c>
      <c r="G179" s="73" t="s">
        <v>460</v>
      </c>
    </row>
    <row r="180" spans="1:7" x14ac:dyDescent="0.25">
      <c r="A180" s="71">
        <v>179</v>
      </c>
      <c r="B180" s="72" t="s">
        <v>520</v>
      </c>
      <c r="C180" s="72" t="s">
        <v>521</v>
      </c>
      <c r="D180" s="72" t="s">
        <v>520</v>
      </c>
      <c r="E180" s="72" t="s">
        <v>35</v>
      </c>
      <c r="F180" s="73" t="s">
        <v>520</v>
      </c>
      <c r="G180" s="73" t="s">
        <v>188</v>
      </c>
    </row>
    <row r="181" spans="1:7" x14ac:dyDescent="0.25">
      <c r="A181" s="71">
        <v>180</v>
      </c>
      <c r="B181" s="72" t="s">
        <v>522</v>
      </c>
      <c r="C181" s="72" t="s">
        <v>523</v>
      </c>
      <c r="D181" s="72" t="s">
        <v>522</v>
      </c>
      <c r="E181" s="72" t="s">
        <v>47</v>
      </c>
      <c r="F181" s="73" t="s">
        <v>522</v>
      </c>
      <c r="G181" s="73" t="s">
        <v>188</v>
      </c>
    </row>
    <row r="182" spans="1:7" x14ac:dyDescent="0.25">
      <c r="A182" s="71">
        <v>181</v>
      </c>
      <c r="B182" s="72" t="s">
        <v>524</v>
      </c>
      <c r="C182" s="72" t="s">
        <v>525</v>
      </c>
      <c r="D182" s="72" t="s">
        <v>524</v>
      </c>
      <c r="E182" s="72" t="s">
        <v>44</v>
      </c>
      <c r="F182" s="73" t="s">
        <v>524</v>
      </c>
      <c r="G182" s="73" t="s">
        <v>460</v>
      </c>
    </row>
    <row r="183" spans="1:7" x14ac:dyDescent="0.25">
      <c r="A183" s="71">
        <v>182</v>
      </c>
      <c r="B183" s="72" t="s">
        <v>526</v>
      </c>
      <c r="C183" s="72" t="s">
        <v>527</v>
      </c>
      <c r="D183" s="72" t="s">
        <v>526</v>
      </c>
      <c r="E183" s="72" t="s">
        <v>49</v>
      </c>
      <c r="F183" s="73" t="s">
        <v>526</v>
      </c>
      <c r="G183" s="73" t="s">
        <v>460</v>
      </c>
    </row>
    <row r="184" spans="1:7" x14ac:dyDescent="0.25">
      <c r="A184" s="71">
        <v>183</v>
      </c>
      <c r="B184" s="72" t="s">
        <v>528</v>
      </c>
      <c r="C184" s="72" t="s">
        <v>529</v>
      </c>
      <c r="D184" s="72" t="s">
        <v>528</v>
      </c>
      <c r="E184" s="72" t="s">
        <v>49</v>
      </c>
      <c r="F184" s="73" t="s">
        <v>528</v>
      </c>
      <c r="G184" s="73" t="s">
        <v>460</v>
      </c>
    </row>
    <row r="185" spans="1:7" x14ac:dyDescent="0.25">
      <c r="A185" s="71">
        <v>184</v>
      </c>
      <c r="B185" s="72" t="s">
        <v>530</v>
      </c>
      <c r="C185" s="72" t="s">
        <v>531</v>
      </c>
      <c r="D185" s="72" t="s">
        <v>530</v>
      </c>
      <c r="E185" s="72" t="s">
        <v>30</v>
      </c>
      <c r="F185" s="73" t="s">
        <v>530</v>
      </c>
      <c r="G185" s="73" t="s">
        <v>460</v>
      </c>
    </row>
    <row r="186" spans="1:7" x14ac:dyDescent="0.25">
      <c r="A186" s="71">
        <v>185</v>
      </c>
      <c r="B186" s="72" t="s">
        <v>532</v>
      </c>
      <c r="C186" s="72" t="s">
        <v>533</v>
      </c>
      <c r="D186" s="72" t="s">
        <v>532</v>
      </c>
      <c r="E186" s="72" t="s">
        <v>39</v>
      </c>
      <c r="F186" s="73" t="s">
        <v>532</v>
      </c>
      <c r="G186" s="73" t="s">
        <v>188</v>
      </c>
    </row>
    <row r="187" spans="1:7" x14ac:dyDescent="0.25">
      <c r="A187" s="71">
        <v>186</v>
      </c>
      <c r="B187" s="72" t="s">
        <v>534</v>
      </c>
      <c r="C187" s="72" t="s">
        <v>535</v>
      </c>
      <c r="D187" s="72" t="s">
        <v>534</v>
      </c>
      <c r="E187" s="72" t="s">
        <v>30</v>
      </c>
      <c r="F187" s="73" t="s">
        <v>534</v>
      </c>
      <c r="G187" s="73" t="s">
        <v>460</v>
      </c>
    </row>
    <row r="188" spans="1:7" x14ac:dyDescent="0.25">
      <c r="A188" s="71">
        <v>187</v>
      </c>
      <c r="B188" s="72" t="s">
        <v>536</v>
      </c>
      <c r="C188" s="72" t="s">
        <v>537</v>
      </c>
      <c r="D188" s="72" t="s">
        <v>536</v>
      </c>
      <c r="E188" s="72" t="s">
        <v>30</v>
      </c>
      <c r="F188" s="73" t="s">
        <v>536</v>
      </c>
      <c r="G188" s="73" t="s">
        <v>460</v>
      </c>
    </row>
    <row r="189" spans="1:7" x14ac:dyDescent="0.25">
      <c r="A189" s="71">
        <v>188</v>
      </c>
      <c r="B189" s="72" t="s">
        <v>538</v>
      </c>
      <c r="C189" s="72" t="s">
        <v>539</v>
      </c>
      <c r="D189" s="72" t="s">
        <v>538</v>
      </c>
      <c r="E189" s="72" t="s">
        <v>30</v>
      </c>
      <c r="F189" s="73" t="s">
        <v>538</v>
      </c>
      <c r="G189" s="73" t="s">
        <v>460</v>
      </c>
    </row>
    <row r="190" spans="1:7" x14ac:dyDescent="0.25">
      <c r="A190" s="71">
        <v>189</v>
      </c>
      <c r="B190" s="72" t="s">
        <v>540</v>
      </c>
      <c r="C190" s="72" t="s">
        <v>541</v>
      </c>
      <c r="D190" s="72" t="s">
        <v>540</v>
      </c>
      <c r="E190" s="72" t="s">
        <v>30</v>
      </c>
      <c r="F190" s="73" t="s">
        <v>540</v>
      </c>
      <c r="G190" s="73" t="s">
        <v>460</v>
      </c>
    </row>
    <row r="191" spans="1:7" x14ac:dyDescent="0.25">
      <c r="A191" s="71">
        <v>190</v>
      </c>
      <c r="B191" s="72" t="s">
        <v>542</v>
      </c>
      <c r="C191" s="72" t="s">
        <v>543</v>
      </c>
      <c r="D191" s="72" t="s">
        <v>542</v>
      </c>
      <c r="E191" s="72" t="s">
        <v>39</v>
      </c>
      <c r="F191" s="73" t="s">
        <v>542</v>
      </c>
      <c r="G191" s="73" t="s">
        <v>188</v>
      </c>
    </row>
    <row r="192" spans="1:7" x14ac:dyDescent="0.25">
      <c r="A192" s="71">
        <v>191</v>
      </c>
      <c r="B192" s="72" t="s">
        <v>544</v>
      </c>
      <c r="C192" s="72" t="s">
        <v>545</v>
      </c>
      <c r="D192" s="72" t="s">
        <v>544</v>
      </c>
      <c r="E192" s="72" t="s">
        <v>46</v>
      </c>
      <c r="F192" s="73" t="s">
        <v>544</v>
      </c>
      <c r="G192" s="73" t="s">
        <v>188</v>
      </c>
    </row>
    <row r="193" spans="1:7" x14ac:dyDescent="0.25">
      <c r="A193" s="71">
        <v>192</v>
      </c>
      <c r="B193" s="72" t="s">
        <v>546</v>
      </c>
      <c r="C193" s="72" t="s">
        <v>547</v>
      </c>
      <c r="D193" s="72" t="s">
        <v>546</v>
      </c>
      <c r="E193" s="72" t="s">
        <v>48</v>
      </c>
      <c r="F193" s="73" t="s">
        <v>546</v>
      </c>
      <c r="G193" s="73" t="s">
        <v>402</v>
      </c>
    </row>
    <row r="194" spans="1:7" x14ac:dyDescent="0.25">
      <c r="A194" s="71">
        <v>193</v>
      </c>
      <c r="B194" s="72" t="s">
        <v>548</v>
      </c>
      <c r="C194" s="72" t="s">
        <v>549</v>
      </c>
      <c r="D194" s="72" t="s">
        <v>548</v>
      </c>
      <c r="E194" s="72" t="s">
        <v>35</v>
      </c>
      <c r="F194" s="73" t="s">
        <v>548</v>
      </c>
      <c r="G194" s="73" t="s">
        <v>188</v>
      </c>
    </row>
    <row r="195" spans="1:7" x14ac:dyDescent="0.25">
      <c r="A195" s="71">
        <v>194</v>
      </c>
      <c r="B195" s="72" t="s">
        <v>550</v>
      </c>
      <c r="C195" s="72" t="s">
        <v>551</v>
      </c>
      <c r="D195" s="72" t="s">
        <v>550</v>
      </c>
      <c r="E195" s="72" t="s">
        <v>30</v>
      </c>
      <c r="F195" s="73" t="s">
        <v>550</v>
      </c>
      <c r="G195" s="73" t="s">
        <v>460</v>
      </c>
    </row>
    <row r="196" spans="1:7" x14ac:dyDescent="0.25">
      <c r="A196" s="71">
        <v>195</v>
      </c>
      <c r="B196" s="72" t="s">
        <v>552</v>
      </c>
      <c r="C196" s="72" t="s">
        <v>553</v>
      </c>
      <c r="D196" s="72" t="s">
        <v>552</v>
      </c>
      <c r="E196" s="72" t="s">
        <v>35</v>
      </c>
      <c r="F196" s="73" t="s">
        <v>552</v>
      </c>
      <c r="G196" s="73" t="s">
        <v>188</v>
      </c>
    </row>
    <row r="197" spans="1:7" x14ac:dyDescent="0.25">
      <c r="A197" s="71">
        <v>196</v>
      </c>
      <c r="B197" s="72" t="s">
        <v>554</v>
      </c>
      <c r="C197" s="72" t="s">
        <v>555</v>
      </c>
      <c r="D197" s="72" t="s">
        <v>554</v>
      </c>
      <c r="E197" s="72" t="s">
        <v>42</v>
      </c>
      <c r="F197" s="73" t="s">
        <v>554</v>
      </c>
      <c r="G197" s="73" t="s">
        <v>188</v>
      </c>
    </row>
    <row r="198" spans="1:7" x14ac:dyDescent="0.25">
      <c r="A198" s="71">
        <v>197</v>
      </c>
      <c r="B198" s="72" t="s">
        <v>556</v>
      </c>
      <c r="C198" s="72" t="s">
        <v>557</v>
      </c>
      <c r="D198" s="72" t="s">
        <v>556</v>
      </c>
      <c r="E198" s="72" t="s">
        <v>49</v>
      </c>
      <c r="F198" s="73" t="s">
        <v>556</v>
      </c>
      <c r="G198" s="73" t="s">
        <v>460</v>
      </c>
    </row>
    <row r="199" spans="1:7" x14ac:dyDescent="0.25">
      <c r="A199" s="71">
        <v>198</v>
      </c>
      <c r="B199" s="72" t="s">
        <v>558</v>
      </c>
      <c r="C199" s="72" t="s">
        <v>559</v>
      </c>
      <c r="D199" s="72" t="s">
        <v>558</v>
      </c>
      <c r="E199" s="72" t="s">
        <v>35</v>
      </c>
      <c r="F199" s="73" t="s">
        <v>558</v>
      </c>
      <c r="G199" s="73" t="s">
        <v>188</v>
      </c>
    </row>
    <row r="200" spans="1:7" x14ac:dyDescent="0.25">
      <c r="A200" s="71">
        <v>199</v>
      </c>
      <c r="B200" s="72" t="s">
        <v>560</v>
      </c>
      <c r="C200" s="72" t="s">
        <v>561</v>
      </c>
      <c r="D200" s="72" t="s">
        <v>560</v>
      </c>
      <c r="E200" s="72" t="s">
        <v>35</v>
      </c>
      <c r="F200" s="73" t="s">
        <v>560</v>
      </c>
      <c r="G200" s="73" t="s">
        <v>188</v>
      </c>
    </row>
    <row r="201" spans="1:7" x14ac:dyDescent="0.25">
      <c r="A201" s="71">
        <v>200</v>
      </c>
      <c r="B201" s="72" t="s">
        <v>562</v>
      </c>
      <c r="C201" s="72" t="s">
        <v>563</v>
      </c>
      <c r="D201" s="72" t="s">
        <v>562</v>
      </c>
      <c r="E201" s="72" t="s">
        <v>43</v>
      </c>
      <c r="F201" s="73" t="s">
        <v>562</v>
      </c>
      <c r="G201" s="73" t="s">
        <v>188</v>
      </c>
    </row>
    <row r="202" spans="1:7" x14ac:dyDescent="0.25">
      <c r="A202" s="71">
        <v>201</v>
      </c>
      <c r="B202" s="72" t="s">
        <v>564</v>
      </c>
      <c r="C202" s="72" t="s">
        <v>565</v>
      </c>
      <c r="D202" s="72" t="s">
        <v>564</v>
      </c>
      <c r="E202" s="72" t="s">
        <v>33</v>
      </c>
      <c r="F202" s="73" t="s">
        <v>564</v>
      </c>
      <c r="G202" s="73" t="s">
        <v>188</v>
      </c>
    </row>
    <row r="203" spans="1:7" x14ac:dyDescent="0.25">
      <c r="A203" s="71">
        <v>202</v>
      </c>
      <c r="B203" s="72" t="s">
        <v>566</v>
      </c>
      <c r="C203" s="72" t="s">
        <v>567</v>
      </c>
      <c r="D203" s="72" t="s">
        <v>566</v>
      </c>
      <c r="E203" s="72" t="s">
        <v>46</v>
      </c>
      <c r="F203" s="73" t="s">
        <v>566</v>
      </c>
      <c r="G203" s="73" t="s">
        <v>188</v>
      </c>
    </row>
    <row r="204" spans="1:7" x14ac:dyDescent="0.25">
      <c r="A204" s="71">
        <v>203</v>
      </c>
      <c r="B204" s="72" t="s">
        <v>568</v>
      </c>
      <c r="C204" s="72" t="s">
        <v>569</v>
      </c>
      <c r="D204" s="72" t="s">
        <v>568</v>
      </c>
      <c r="E204" s="72" t="s">
        <v>30</v>
      </c>
      <c r="F204" s="73" t="s">
        <v>568</v>
      </c>
      <c r="G204" s="73" t="s">
        <v>460</v>
      </c>
    </row>
    <row r="205" spans="1:7" x14ac:dyDescent="0.25">
      <c r="A205" s="71">
        <v>204</v>
      </c>
      <c r="B205" s="72" t="s">
        <v>570</v>
      </c>
      <c r="C205" s="72" t="s">
        <v>571</v>
      </c>
      <c r="D205" s="72" t="s">
        <v>570</v>
      </c>
      <c r="E205" s="72" t="s">
        <v>48</v>
      </c>
      <c r="F205" s="73" t="s">
        <v>570</v>
      </c>
      <c r="G205" s="73" t="s">
        <v>402</v>
      </c>
    </row>
    <row r="206" spans="1:7" x14ac:dyDescent="0.25">
      <c r="A206" s="71">
        <v>205</v>
      </c>
      <c r="B206" s="72" t="s">
        <v>572</v>
      </c>
      <c r="C206" s="72" t="s">
        <v>573</v>
      </c>
      <c r="D206" s="72" t="s">
        <v>572</v>
      </c>
      <c r="E206" s="72" t="s">
        <v>35</v>
      </c>
      <c r="F206" s="73" t="s">
        <v>572</v>
      </c>
      <c r="G206" s="73" t="s">
        <v>188</v>
      </c>
    </row>
    <row r="207" spans="1:7" x14ac:dyDescent="0.25">
      <c r="A207" s="71">
        <v>206</v>
      </c>
      <c r="B207" s="72" t="s">
        <v>574</v>
      </c>
      <c r="C207" s="72" t="s">
        <v>575</v>
      </c>
      <c r="D207" s="72" t="s">
        <v>574</v>
      </c>
      <c r="E207" s="72" t="s">
        <v>39</v>
      </c>
      <c r="F207" s="73" t="s">
        <v>574</v>
      </c>
      <c r="G207" s="73" t="s">
        <v>188</v>
      </c>
    </row>
    <row r="208" spans="1:7" x14ac:dyDescent="0.25">
      <c r="A208" s="71">
        <v>207</v>
      </c>
      <c r="B208" s="72" t="s">
        <v>576</v>
      </c>
      <c r="C208" s="72" t="s">
        <v>577</v>
      </c>
      <c r="D208" s="72" t="s">
        <v>576</v>
      </c>
      <c r="E208" s="72" t="s">
        <v>49</v>
      </c>
      <c r="F208" s="73" t="s">
        <v>576</v>
      </c>
      <c r="G208" s="73" t="s">
        <v>460</v>
      </c>
    </row>
    <row r="209" spans="1:7" x14ac:dyDescent="0.25">
      <c r="A209" s="71">
        <v>208</v>
      </c>
      <c r="B209" s="72" t="s">
        <v>578</v>
      </c>
      <c r="C209" s="72" t="s">
        <v>579</v>
      </c>
      <c r="D209" s="72" t="s">
        <v>578</v>
      </c>
      <c r="E209" s="72" t="s">
        <v>44</v>
      </c>
      <c r="F209" s="73" t="s">
        <v>578</v>
      </c>
      <c r="G209" s="73" t="s">
        <v>460</v>
      </c>
    </row>
    <row r="210" spans="1:7" x14ac:dyDescent="0.25">
      <c r="A210" s="71">
        <v>209</v>
      </c>
      <c r="B210" s="72" t="s">
        <v>580</v>
      </c>
      <c r="C210" s="72" t="s">
        <v>581</v>
      </c>
      <c r="D210" s="72" t="s">
        <v>580</v>
      </c>
      <c r="E210" s="72" t="s">
        <v>48</v>
      </c>
      <c r="F210" s="73" t="s">
        <v>580</v>
      </c>
      <c r="G210" s="73" t="s">
        <v>402</v>
      </c>
    </row>
    <row r="211" spans="1:7" x14ac:dyDescent="0.25">
      <c r="A211" s="71">
        <v>210</v>
      </c>
      <c r="B211" s="72" t="s">
        <v>582</v>
      </c>
      <c r="C211" s="72" t="s">
        <v>583</v>
      </c>
      <c r="D211" s="72" t="s">
        <v>582</v>
      </c>
      <c r="E211" s="72" t="s">
        <v>35</v>
      </c>
      <c r="F211" s="73" t="s">
        <v>582</v>
      </c>
      <c r="G211" s="73" t="s">
        <v>188</v>
      </c>
    </row>
    <row r="212" spans="1:7" x14ac:dyDescent="0.25">
      <c r="A212" s="71">
        <v>211</v>
      </c>
      <c r="B212" s="72" t="s">
        <v>584</v>
      </c>
      <c r="C212" s="72" t="s">
        <v>585</v>
      </c>
      <c r="D212" s="72" t="s">
        <v>584</v>
      </c>
      <c r="E212" s="72" t="s">
        <v>35</v>
      </c>
      <c r="F212" s="73" t="s">
        <v>584</v>
      </c>
      <c r="G212" s="73" t="s">
        <v>188</v>
      </c>
    </row>
    <row r="213" spans="1:7" x14ac:dyDescent="0.25">
      <c r="A213" s="71">
        <v>212</v>
      </c>
      <c r="B213" s="72" t="s">
        <v>586</v>
      </c>
      <c r="C213" s="72" t="s">
        <v>587</v>
      </c>
      <c r="D213" s="72" t="s">
        <v>586</v>
      </c>
      <c r="E213" s="72" t="s">
        <v>49</v>
      </c>
      <c r="F213" s="73" t="s">
        <v>586</v>
      </c>
      <c r="G213" s="73" t="s">
        <v>460</v>
      </c>
    </row>
    <row r="214" spans="1:7" x14ac:dyDescent="0.25">
      <c r="A214" s="71">
        <v>213</v>
      </c>
      <c r="B214" s="72" t="s">
        <v>588</v>
      </c>
      <c r="C214" s="72" t="s">
        <v>589</v>
      </c>
      <c r="D214" s="72" t="s">
        <v>588</v>
      </c>
      <c r="E214" s="72" t="s">
        <v>48</v>
      </c>
      <c r="F214" s="73" t="s">
        <v>588</v>
      </c>
      <c r="G214" s="73" t="s">
        <v>402</v>
      </c>
    </row>
    <row r="215" spans="1:7" x14ac:dyDescent="0.25">
      <c r="A215" s="71">
        <v>214</v>
      </c>
      <c r="B215" s="72" t="s">
        <v>121</v>
      </c>
      <c r="C215" s="72" t="s">
        <v>590</v>
      </c>
      <c r="D215" s="72" t="s">
        <v>121</v>
      </c>
      <c r="E215" s="72" t="s">
        <v>46</v>
      </c>
      <c r="F215" s="73" t="s">
        <v>121</v>
      </c>
      <c r="G215" s="73" t="s">
        <v>188</v>
      </c>
    </row>
    <row r="216" spans="1:7" x14ac:dyDescent="0.25">
      <c r="A216" s="71">
        <v>215</v>
      </c>
      <c r="B216" s="72" t="s">
        <v>591</v>
      </c>
      <c r="C216" s="72" t="s">
        <v>592</v>
      </c>
      <c r="D216" s="72" t="s">
        <v>591</v>
      </c>
      <c r="E216" s="72" t="s">
        <v>48</v>
      </c>
      <c r="F216" s="73" t="s">
        <v>591</v>
      </c>
      <c r="G216" s="73" t="s">
        <v>402</v>
      </c>
    </row>
    <row r="217" spans="1:7" x14ac:dyDescent="0.25">
      <c r="A217" s="71">
        <v>216</v>
      </c>
      <c r="B217" s="72" t="s">
        <v>593</v>
      </c>
      <c r="C217" s="72" t="s">
        <v>594</v>
      </c>
      <c r="D217" s="72" t="s">
        <v>593</v>
      </c>
      <c r="E217" s="72" t="s">
        <v>49</v>
      </c>
      <c r="F217" s="73" t="s">
        <v>593</v>
      </c>
      <c r="G217" s="73" t="s">
        <v>460</v>
      </c>
    </row>
    <row r="218" spans="1:7" x14ac:dyDescent="0.25">
      <c r="A218" s="71">
        <v>217</v>
      </c>
      <c r="B218" s="72" t="s">
        <v>595</v>
      </c>
      <c r="C218" s="72" t="s">
        <v>596</v>
      </c>
      <c r="D218" s="72" t="s">
        <v>595</v>
      </c>
      <c r="E218" s="72" t="s">
        <v>48</v>
      </c>
      <c r="F218" s="73" t="s">
        <v>595</v>
      </c>
      <c r="G218" s="73" t="s">
        <v>402</v>
      </c>
    </row>
    <row r="219" spans="1:7" x14ac:dyDescent="0.25">
      <c r="A219" s="71">
        <v>218</v>
      </c>
      <c r="B219" s="72" t="s">
        <v>597</v>
      </c>
      <c r="C219" s="72" t="s">
        <v>598</v>
      </c>
      <c r="D219" s="72" t="s">
        <v>597</v>
      </c>
      <c r="E219" s="72" t="s">
        <v>39</v>
      </c>
      <c r="F219" s="73" t="s">
        <v>597</v>
      </c>
      <c r="G219" s="73" t="s">
        <v>188</v>
      </c>
    </row>
    <row r="220" spans="1:7" x14ac:dyDescent="0.25">
      <c r="A220" s="71">
        <v>219</v>
      </c>
      <c r="B220" s="72" t="s">
        <v>599</v>
      </c>
      <c r="C220" s="72" t="s">
        <v>600</v>
      </c>
      <c r="D220" s="72" t="s">
        <v>599</v>
      </c>
      <c r="E220" s="72" t="s">
        <v>39</v>
      </c>
      <c r="F220" s="73" t="s">
        <v>599</v>
      </c>
      <c r="G220" s="73" t="s">
        <v>188</v>
      </c>
    </row>
    <row r="221" spans="1:7" x14ac:dyDescent="0.25">
      <c r="A221" s="71">
        <v>220</v>
      </c>
      <c r="B221" s="72" t="s">
        <v>601</v>
      </c>
      <c r="C221" s="72" t="s">
        <v>602</v>
      </c>
      <c r="D221" s="72" t="s">
        <v>601</v>
      </c>
      <c r="E221" s="72" t="s">
        <v>49</v>
      </c>
      <c r="F221" s="73" t="s">
        <v>601</v>
      </c>
      <c r="G221" s="73" t="s">
        <v>460</v>
      </c>
    </row>
    <row r="222" spans="1:7" x14ac:dyDescent="0.25">
      <c r="A222" s="71">
        <v>221</v>
      </c>
      <c r="B222" s="72" t="s">
        <v>603</v>
      </c>
      <c r="C222" s="72" t="s">
        <v>604</v>
      </c>
      <c r="D222" s="72" t="s">
        <v>603</v>
      </c>
      <c r="E222" s="72" t="s">
        <v>49</v>
      </c>
      <c r="F222" s="73" t="s">
        <v>603</v>
      </c>
      <c r="G222" s="73" t="s">
        <v>460</v>
      </c>
    </row>
    <row r="223" spans="1:7" x14ac:dyDescent="0.25">
      <c r="A223" s="71">
        <v>222</v>
      </c>
      <c r="B223" s="72" t="s">
        <v>605</v>
      </c>
      <c r="C223" s="72" t="s">
        <v>606</v>
      </c>
      <c r="D223" s="72" t="s">
        <v>605</v>
      </c>
      <c r="E223" s="72" t="s">
        <v>49</v>
      </c>
      <c r="F223" s="73" t="s">
        <v>605</v>
      </c>
      <c r="G223" s="73" t="s">
        <v>460</v>
      </c>
    </row>
    <row r="224" spans="1:7" x14ac:dyDescent="0.25">
      <c r="A224" s="71">
        <v>223</v>
      </c>
      <c r="B224" s="72" t="s">
        <v>607</v>
      </c>
      <c r="C224" s="72" t="s">
        <v>608</v>
      </c>
      <c r="D224" s="72" t="s">
        <v>607</v>
      </c>
      <c r="E224" s="72" t="s">
        <v>49</v>
      </c>
      <c r="F224" s="73" t="s">
        <v>607</v>
      </c>
      <c r="G224" s="73" t="s">
        <v>460</v>
      </c>
    </row>
    <row r="225" spans="1:7" x14ac:dyDescent="0.25">
      <c r="A225" s="71">
        <v>224</v>
      </c>
      <c r="B225" s="72" t="s">
        <v>609</v>
      </c>
      <c r="C225" s="72" t="s">
        <v>610</v>
      </c>
      <c r="D225" s="72" t="s">
        <v>609</v>
      </c>
      <c r="E225" s="72" t="s">
        <v>49</v>
      </c>
      <c r="F225" s="73" t="s">
        <v>609</v>
      </c>
      <c r="G225" s="73" t="s">
        <v>460</v>
      </c>
    </row>
    <row r="226" spans="1:7" x14ac:dyDescent="0.25">
      <c r="A226" s="71">
        <v>225</v>
      </c>
      <c r="B226" s="72" t="s">
        <v>611</v>
      </c>
      <c r="C226" s="72" t="s">
        <v>612</v>
      </c>
      <c r="D226" s="72" t="s">
        <v>611</v>
      </c>
      <c r="E226" s="72" t="s">
        <v>49</v>
      </c>
      <c r="F226" s="73" t="s">
        <v>611</v>
      </c>
      <c r="G226" s="73" t="s">
        <v>460</v>
      </c>
    </row>
    <row r="227" spans="1:7" x14ac:dyDescent="0.25">
      <c r="A227" s="71">
        <v>226</v>
      </c>
      <c r="B227" s="72" t="s">
        <v>613</v>
      </c>
      <c r="C227" s="72" t="s">
        <v>614</v>
      </c>
      <c r="D227" s="72" t="s">
        <v>613</v>
      </c>
      <c r="E227" s="72" t="s">
        <v>39</v>
      </c>
      <c r="F227" s="73" t="s">
        <v>613</v>
      </c>
      <c r="G227" s="73" t="s">
        <v>188</v>
      </c>
    </row>
    <row r="228" spans="1:7" x14ac:dyDescent="0.25">
      <c r="A228" s="71">
        <v>227</v>
      </c>
      <c r="B228" s="72" t="s">
        <v>615</v>
      </c>
      <c r="C228" s="72" t="s">
        <v>616</v>
      </c>
      <c r="D228" s="72" t="s">
        <v>615</v>
      </c>
      <c r="E228" s="72" t="s">
        <v>48</v>
      </c>
      <c r="F228" s="73" t="s">
        <v>615</v>
      </c>
      <c r="G228" s="73" t="s">
        <v>402</v>
      </c>
    </row>
    <row r="229" spans="1:7" x14ac:dyDescent="0.25">
      <c r="A229" s="71">
        <v>228</v>
      </c>
      <c r="B229" s="72" t="s">
        <v>617</v>
      </c>
      <c r="C229" s="72" t="s">
        <v>618</v>
      </c>
      <c r="D229" s="72" t="s">
        <v>617</v>
      </c>
      <c r="E229" s="72" t="s">
        <v>48</v>
      </c>
      <c r="F229" s="73" t="s">
        <v>617</v>
      </c>
      <c r="G229" s="73" t="s">
        <v>402</v>
      </c>
    </row>
    <row r="230" spans="1:7" x14ac:dyDescent="0.25">
      <c r="A230" s="71">
        <v>229</v>
      </c>
      <c r="B230" s="72" t="s">
        <v>619</v>
      </c>
      <c r="C230" s="72" t="s">
        <v>620</v>
      </c>
      <c r="D230" s="72" t="s">
        <v>619</v>
      </c>
      <c r="E230" s="72" t="s">
        <v>49</v>
      </c>
      <c r="F230" s="73" t="s">
        <v>619</v>
      </c>
      <c r="G230" s="73" t="s">
        <v>460</v>
      </c>
    </row>
    <row r="231" spans="1:7" x14ac:dyDescent="0.25">
      <c r="A231" s="71">
        <v>230</v>
      </c>
      <c r="B231" s="72" t="s">
        <v>136</v>
      </c>
      <c r="C231" s="72" t="s">
        <v>621</v>
      </c>
      <c r="D231" s="72" t="s">
        <v>136</v>
      </c>
      <c r="E231" s="72" t="s">
        <v>43</v>
      </c>
      <c r="F231" s="73" t="s">
        <v>136</v>
      </c>
      <c r="G231" s="73" t="s">
        <v>188</v>
      </c>
    </row>
    <row r="232" spans="1:7" x14ac:dyDescent="0.25">
      <c r="A232" s="71">
        <v>231</v>
      </c>
      <c r="B232" s="72" t="s">
        <v>622</v>
      </c>
      <c r="C232" s="72" t="s">
        <v>623</v>
      </c>
      <c r="D232" s="72" t="s">
        <v>622</v>
      </c>
      <c r="E232" s="72" t="s">
        <v>49</v>
      </c>
      <c r="F232" s="73" t="s">
        <v>622</v>
      </c>
      <c r="G232" s="73" t="s">
        <v>460</v>
      </c>
    </row>
    <row r="233" spans="1:7" x14ac:dyDescent="0.25">
      <c r="A233" s="71">
        <v>232</v>
      </c>
      <c r="B233" s="72" t="s">
        <v>624</v>
      </c>
      <c r="C233" s="72" t="s">
        <v>625</v>
      </c>
      <c r="D233" s="72" t="s">
        <v>624</v>
      </c>
      <c r="E233" s="72" t="s">
        <v>49</v>
      </c>
      <c r="F233" s="73" t="s">
        <v>624</v>
      </c>
      <c r="G233" s="73" t="s">
        <v>460</v>
      </c>
    </row>
    <row r="234" spans="1:7" x14ac:dyDescent="0.25">
      <c r="A234" s="71">
        <v>233</v>
      </c>
      <c r="B234" s="72" t="s">
        <v>626</v>
      </c>
      <c r="C234" s="72" t="s">
        <v>627</v>
      </c>
      <c r="D234" s="72" t="s">
        <v>626</v>
      </c>
      <c r="E234" s="72" t="s">
        <v>49</v>
      </c>
      <c r="F234" s="73" t="s">
        <v>626</v>
      </c>
      <c r="G234" s="73" t="s">
        <v>460</v>
      </c>
    </row>
    <row r="235" spans="1:7" x14ac:dyDescent="0.25">
      <c r="A235" s="71">
        <v>234</v>
      </c>
      <c r="B235" s="72" t="s">
        <v>628</v>
      </c>
      <c r="C235" s="72" t="s">
        <v>629</v>
      </c>
      <c r="D235" s="72" t="s">
        <v>628</v>
      </c>
      <c r="E235" s="72" t="s">
        <v>49</v>
      </c>
      <c r="F235" s="73" t="s">
        <v>628</v>
      </c>
      <c r="G235" s="73" t="s">
        <v>460</v>
      </c>
    </row>
    <row r="236" spans="1:7" x14ac:dyDescent="0.25">
      <c r="A236" s="71">
        <v>235</v>
      </c>
      <c r="B236" s="72" t="s">
        <v>630</v>
      </c>
      <c r="C236" s="72" t="s">
        <v>631</v>
      </c>
      <c r="D236" s="72" t="s">
        <v>630</v>
      </c>
      <c r="E236" s="72" t="s">
        <v>49</v>
      </c>
      <c r="F236" s="73" t="s">
        <v>630</v>
      </c>
      <c r="G236" s="73" t="s">
        <v>460</v>
      </c>
    </row>
    <row r="237" spans="1:7" x14ac:dyDescent="0.25">
      <c r="A237" s="71">
        <v>236</v>
      </c>
      <c r="B237" s="72" t="s">
        <v>632</v>
      </c>
      <c r="C237" s="72" t="s">
        <v>633</v>
      </c>
      <c r="D237" s="72" t="s">
        <v>632</v>
      </c>
      <c r="E237" s="72" t="s">
        <v>49</v>
      </c>
      <c r="F237" s="73" t="s">
        <v>632</v>
      </c>
      <c r="G237" s="73" t="s">
        <v>460</v>
      </c>
    </row>
    <row r="238" spans="1:7" x14ac:dyDescent="0.25">
      <c r="A238" s="71">
        <v>237</v>
      </c>
      <c r="B238" s="72" t="s">
        <v>634</v>
      </c>
      <c r="C238" s="72" t="s">
        <v>635</v>
      </c>
      <c r="D238" s="72" t="s">
        <v>634</v>
      </c>
      <c r="E238" s="72" t="s">
        <v>49</v>
      </c>
      <c r="F238" s="73" t="s">
        <v>634</v>
      </c>
      <c r="G238" s="73" t="s">
        <v>460</v>
      </c>
    </row>
    <row r="239" spans="1:7" x14ac:dyDescent="0.25">
      <c r="A239" s="71">
        <v>238</v>
      </c>
      <c r="B239" s="72" t="s">
        <v>636</v>
      </c>
      <c r="C239" s="72" t="s">
        <v>637</v>
      </c>
      <c r="D239" s="72" t="s">
        <v>636</v>
      </c>
      <c r="E239" s="72" t="s">
        <v>35</v>
      </c>
      <c r="F239" s="73" t="s">
        <v>636</v>
      </c>
      <c r="G239" s="73" t="s">
        <v>188</v>
      </c>
    </row>
    <row r="240" spans="1:7" x14ac:dyDescent="0.25">
      <c r="A240" s="71">
        <v>239</v>
      </c>
      <c r="B240" s="72" t="s">
        <v>638</v>
      </c>
      <c r="C240" s="72" t="s">
        <v>639</v>
      </c>
      <c r="D240" s="72" t="s">
        <v>638</v>
      </c>
      <c r="E240" s="72" t="s">
        <v>39</v>
      </c>
      <c r="F240" s="73" t="s">
        <v>638</v>
      </c>
      <c r="G240" s="73" t="s">
        <v>188</v>
      </c>
    </row>
    <row r="241" spans="1:7" x14ac:dyDescent="0.25">
      <c r="A241" s="71">
        <v>240</v>
      </c>
      <c r="B241" s="72" t="s">
        <v>640</v>
      </c>
      <c r="C241" s="72" t="s">
        <v>641</v>
      </c>
      <c r="D241" s="72" t="s">
        <v>640</v>
      </c>
      <c r="E241" s="72" t="s">
        <v>41</v>
      </c>
      <c r="F241" s="73" t="s">
        <v>640</v>
      </c>
      <c r="G241" s="73" t="s">
        <v>460</v>
      </c>
    </row>
    <row r="242" spans="1:7" x14ac:dyDescent="0.25">
      <c r="A242" s="71">
        <v>241</v>
      </c>
      <c r="B242" s="72" t="s">
        <v>642</v>
      </c>
      <c r="C242" s="72" t="s">
        <v>643</v>
      </c>
      <c r="D242" s="72" t="s">
        <v>642</v>
      </c>
      <c r="E242" s="72" t="s">
        <v>35</v>
      </c>
      <c r="F242" s="73" t="s">
        <v>642</v>
      </c>
      <c r="G242" s="73" t="s">
        <v>188</v>
      </c>
    </row>
    <row r="243" spans="1:7" x14ac:dyDescent="0.25">
      <c r="A243" s="71">
        <v>242</v>
      </c>
      <c r="B243" s="72" t="s">
        <v>644</v>
      </c>
      <c r="C243" s="72" t="s">
        <v>645</v>
      </c>
      <c r="D243" s="72" t="s">
        <v>644</v>
      </c>
      <c r="E243" s="72" t="s">
        <v>35</v>
      </c>
      <c r="F243" s="73" t="s">
        <v>644</v>
      </c>
      <c r="G243" s="73" t="s">
        <v>188</v>
      </c>
    </row>
    <row r="244" spans="1:7" x14ac:dyDescent="0.25">
      <c r="A244" s="71">
        <v>243</v>
      </c>
      <c r="B244" s="72" t="s">
        <v>646</v>
      </c>
      <c r="C244" s="72" t="s">
        <v>647</v>
      </c>
      <c r="D244" s="72" t="s">
        <v>646</v>
      </c>
      <c r="E244" s="72" t="s">
        <v>48</v>
      </c>
      <c r="F244" s="73" t="s">
        <v>646</v>
      </c>
      <c r="G244" s="73" t="s">
        <v>402</v>
      </c>
    </row>
    <row r="245" spans="1:7" x14ac:dyDescent="0.25">
      <c r="A245" s="71">
        <v>244</v>
      </c>
      <c r="B245" s="72" t="s">
        <v>648</v>
      </c>
      <c r="C245" s="72" t="s">
        <v>649</v>
      </c>
      <c r="D245" s="72" t="s">
        <v>648</v>
      </c>
      <c r="E245" s="72" t="s">
        <v>48</v>
      </c>
      <c r="F245" s="73" t="s">
        <v>648</v>
      </c>
      <c r="G245" s="73" t="s">
        <v>402</v>
      </c>
    </row>
    <row r="246" spans="1:7" x14ac:dyDescent="0.25">
      <c r="A246" s="71">
        <v>245</v>
      </c>
      <c r="B246" s="72" t="s">
        <v>650</v>
      </c>
      <c r="C246" s="72" t="s">
        <v>651</v>
      </c>
      <c r="D246" s="72" t="s">
        <v>650</v>
      </c>
      <c r="E246" s="72" t="s">
        <v>35</v>
      </c>
      <c r="F246" s="73" t="s">
        <v>650</v>
      </c>
      <c r="G246" s="73" t="s">
        <v>188</v>
      </c>
    </row>
    <row r="247" spans="1:7" x14ac:dyDescent="0.25">
      <c r="A247" s="71">
        <v>246</v>
      </c>
      <c r="B247" s="72" t="s">
        <v>652</v>
      </c>
      <c r="C247" s="72" t="s">
        <v>653</v>
      </c>
      <c r="D247" s="72" t="s">
        <v>652</v>
      </c>
      <c r="E247" s="72" t="s">
        <v>35</v>
      </c>
      <c r="F247" s="73" t="s">
        <v>652</v>
      </c>
      <c r="G247" s="73" t="s">
        <v>188</v>
      </c>
    </row>
    <row r="248" spans="1:7" x14ac:dyDescent="0.25">
      <c r="A248" s="71">
        <v>247</v>
      </c>
      <c r="B248" s="72" t="s">
        <v>654</v>
      </c>
      <c r="C248" s="72" t="s">
        <v>655</v>
      </c>
      <c r="D248" s="72" t="s">
        <v>654</v>
      </c>
      <c r="E248" s="72" t="s">
        <v>49</v>
      </c>
      <c r="F248" s="73" t="s">
        <v>654</v>
      </c>
      <c r="G248" s="73" t="s">
        <v>460</v>
      </c>
    </row>
    <row r="249" spans="1:7" x14ac:dyDescent="0.25">
      <c r="A249" s="71">
        <v>248</v>
      </c>
      <c r="B249" s="72" t="s">
        <v>656</v>
      </c>
      <c r="C249" s="72" t="s">
        <v>657</v>
      </c>
      <c r="D249" s="72" t="s">
        <v>656</v>
      </c>
      <c r="E249" s="72" t="s">
        <v>49</v>
      </c>
      <c r="F249" s="73" t="s">
        <v>656</v>
      </c>
      <c r="G249" s="73" t="s">
        <v>460</v>
      </c>
    </row>
    <row r="250" spans="1:7" x14ac:dyDescent="0.25">
      <c r="A250" s="71">
        <v>249</v>
      </c>
      <c r="B250" s="72" t="s">
        <v>658</v>
      </c>
      <c r="C250" s="72" t="s">
        <v>659</v>
      </c>
      <c r="D250" s="72" t="s">
        <v>658</v>
      </c>
      <c r="E250" s="72" t="s">
        <v>49</v>
      </c>
      <c r="F250" s="73" t="s">
        <v>658</v>
      </c>
      <c r="G250" s="73" t="s">
        <v>460</v>
      </c>
    </row>
    <row r="251" spans="1:7" x14ac:dyDescent="0.25">
      <c r="A251" s="71">
        <v>250</v>
      </c>
      <c r="B251" s="72" t="s">
        <v>660</v>
      </c>
      <c r="C251" s="72" t="s">
        <v>661</v>
      </c>
      <c r="D251" s="72" t="s">
        <v>660</v>
      </c>
      <c r="E251" s="72" t="s">
        <v>35</v>
      </c>
      <c r="F251" s="73" t="s">
        <v>660</v>
      </c>
      <c r="G251" s="73" t="s">
        <v>188</v>
      </c>
    </row>
    <row r="252" spans="1:7" x14ac:dyDescent="0.25">
      <c r="A252" s="71">
        <v>251</v>
      </c>
      <c r="B252" s="72" t="s">
        <v>662</v>
      </c>
      <c r="C252" s="72" t="s">
        <v>663</v>
      </c>
      <c r="D252" s="72" t="s">
        <v>662</v>
      </c>
      <c r="E252" s="72" t="s">
        <v>35</v>
      </c>
      <c r="F252" s="73" t="s">
        <v>662</v>
      </c>
      <c r="G252" s="73" t="s">
        <v>188</v>
      </c>
    </row>
    <row r="253" spans="1:7" x14ac:dyDescent="0.25">
      <c r="A253" s="71">
        <v>252</v>
      </c>
      <c r="B253" s="72" t="s">
        <v>664</v>
      </c>
      <c r="C253" s="72" t="s">
        <v>665</v>
      </c>
      <c r="D253" s="72" t="s">
        <v>664</v>
      </c>
      <c r="E253" s="72" t="s">
        <v>41</v>
      </c>
      <c r="F253" s="73" t="s">
        <v>664</v>
      </c>
      <c r="G253" s="73" t="s">
        <v>460</v>
      </c>
    </row>
    <row r="254" spans="1:7" x14ac:dyDescent="0.25">
      <c r="A254" s="71">
        <v>253</v>
      </c>
      <c r="B254" s="72" t="s">
        <v>666</v>
      </c>
      <c r="C254" s="72" t="s">
        <v>667</v>
      </c>
      <c r="D254" s="72" t="s">
        <v>666</v>
      </c>
      <c r="E254" s="72" t="s">
        <v>46</v>
      </c>
      <c r="F254" s="73" t="s">
        <v>666</v>
      </c>
      <c r="G254" s="73" t="s">
        <v>188</v>
      </c>
    </row>
    <row r="255" spans="1:7" x14ac:dyDescent="0.25">
      <c r="A255" s="71">
        <v>254</v>
      </c>
      <c r="B255" s="72" t="s">
        <v>668</v>
      </c>
      <c r="C255" s="72" t="s">
        <v>669</v>
      </c>
      <c r="D255" s="72" t="s">
        <v>668</v>
      </c>
      <c r="E255" s="72" t="s">
        <v>39</v>
      </c>
      <c r="F255" s="73" t="s">
        <v>668</v>
      </c>
      <c r="G255" s="73" t="s">
        <v>188</v>
      </c>
    </row>
    <row r="256" spans="1:7" x14ac:dyDescent="0.25">
      <c r="A256" s="71">
        <v>255</v>
      </c>
      <c r="B256" s="72" t="s">
        <v>670</v>
      </c>
      <c r="C256" s="72" t="s">
        <v>671</v>
      </c>
      <c r="D256" s="72" t="s">
        <v>670</v>
      </c>
      <c r="E256" s="72" t="s">
        <v>39</v>
      </c>
      <c r="F256" s="73" t="s">
        <v>670</v>
      </c>
      <c r="G256" s="73" t="s">
        <v>188</v>
      </c>
    </row>
    <row r="257" spans="1:7" x14ac:dyDescent="0.25">
      <c r="A257" s="71">
        <v>256</v>
      </c>
      <c r="B257" s="72" t="s">
        <v>672</v>
      </c>
      <c r="C257" s="72" t="s">
        <v>673</v>
      </c>
      <c r="D257" s="72" t="s">
        <v>672</v>
      </c>
      <c r="E257" s="72" t="s">
        <v>49</v>
      </c>
      <c r="F257" s="73" t="s">
        <v>672</v>
      </c>
      <c r="G257" s="73" t="s">
        <v>460</v>
      </c>
    </row>
    <row r="258" spans="1:7" x14ac:dyDescent="0.25">
      <c r="A258" s="71">
        <v>257</v>
      </c>
      <c r="B258" s="72" t="s">
        <v>674</v>
      </c>
      <c r="C258" s="72" t="s">
        <v>196</v>
      </c>
      <c r="D258" s="72" t="s">
        <v>674</v>
      </c>
      <c r="E258" s="72" t="s">
        <v>49</v>
      </c>
      <c r="F258" s="73" t="s">
        <v>674</v>
      </c>
      <c r="G258" s="73" t="s">
        <v>460</v>
      </c>
    </row>
    <row r="259" spans="1:7" x14ac:dyDescent="0.25">
      <c r="A259" s="71">
        <v>258</v>
      </c>
      <c r="B259" s="72" t="s">
        <v>675</v>
      </c>
      <c r="C259" s="72" t="s">
        <v>676</v>
      </c>
      <c r="D259" s="72" t="s">
        <v>675</v>
      </c>
      <c r="E259" s="72" t="s">
        <v>35</v>
      </c>
      <c r="F259" s="73" t="s">
        <v>675</v>
      </c>
      <c r="G259" s="73" t="s">
        <v>188</v>
      </c>
    </row>
    <row r="260" spans="1:7" x14ac:dyDescent="0.25">
      <c r="A260" s="71">
        <v>259</v>
      </c>
      <c r="B260" s="72" t="s">
        <v>677</v>
      </c>
      <c r="C260" s="72" t="s">
        <v>678</v>
      </c>
      <c r="D260" s="72" t="s">
        <v>677</v>
      </c>
      <c r="E260" s="72" t="s">
        <v>35</v>
      </c>
      <c r="F260" s="73" t="s">
        <v>677</v>
      </c>
      <c r="G260" s="73" t="s">
        <v>188</v>
      </c>
    </row>
    <row r="261" spans="1:7" x14ac:dyDescent="0.25">
      <c r="A261" s="71">
        <v>260</v>
      </c>
      <c r="B261" s="72" t="s">
        <v>679</v>
      </c>
      <c r="C261" s="72" t="s">
        <v>680</v>
      </c>
      <c r="D261" s="72" t="s">
        <v>679</v>
      </c>
      <c r="E261" s="72" t="s">
        <v>39</v>
      </c>
      <c r="F261" s="73" t="s">
        <v>679</v>
      </c>
      <c r="G261" s="73" t="s">
        <v>188</v>
      </c>
    </row>
    <row r="262" spans="1:7" x14ac:dyDescent="0.25">
      <c r="A262" s="71">
        <v>261</v>
      </c>
      <c r="B262" s="72" t="s">
        <v>681</v>
      </c>
      <c r="C262" s="72" t="s">
        <v>682</v>
      </c>
      <c r="D262" s="72" t="s">
        <v>681</v>
      </c>
      <c r="E262" s="72" t="s">
        <v>39</v>
      </c>
      <c r="F262" s="73" t="s">
        <v>681</v>
      </c>
      <c r="G262" s="73" t="s">
        <v>188</v>
      </c>
    </row>
    <row r="263" spans="1:7" x14ac:dyDescent="0.25">
      <c r="A263" s="71">
        <v>262</v>
      </c>
      <c r="B263" s="72" t="s">
        <v>683</v>
      </c>
      <c r="C263" s="72" t="s">
        <v>684</v>
      </c>
      <c r="D263" s="72" t="s">
        <v>683</v>
      </c>
      <c r="E263" s="72" t="s">
        <v>35</v>
      </c>
      <c r="F263" s="73" t="s">
        <v>683</v>
      </c>
      <c r="G263" s="73" t="s">
        <v>188</v>
      </c>
    </row>
    <row r="264" spans="1:7" x14ac:dyDescent="0.25">
      <c r="A264" s="71">
        <v>263</v>
      </c>
      <c r="B264" s="72" t="s">
        <v>685</v>
      </c>
      <c r="C264" s="72" t="s">
        <v>686</v>
      </c>
      <c r="D264" s="72" t="s">
        <v>685</v>
      </c>
      <c r="E264" s="72" t="s">
        <v>49</v>
      </c>
      <c r="F264" s="73" t="s">
        <v>685</v>
      </c>
      <c r="G264" s="73" t="s">
        <v>460</v>
      </c>
    </row>
    <row r="265" spans="1:7" x14ac:dyDescent="0.25">
      <c r="A265" s="71">
        <v>264</v>
      </c>
      <c r="B265" s="72" t="s">
        <v>687</v>
      </c>
      <c r="C265" s="72" t="s">
        <v>688</v>
      </c>
      <c r="D265" s="72" t="s">
        <v>687</v>
      </c>
      <c r="E265" s="72" t="s">
        <v>35</v>
      </c>
      <c r="F265" s="73" t="s">
        <v>687</v>
      </c>
      <c r="G265" s="73" t="s">
        <v>188</v>
      </c>
    </row>
    <row r="266" spans="1:7" x14ac:dyDescent="0.25">
      <c r="A266" s="71">
        <v>265</v>
      </c>
      <c r="B266" s="72" t="s">
        <v>689</v>
      </c>
      <c r="C266" s="72" t="s">
        <v>690</v>
      </c>
      <c r="D266" s="72" t="s">
        <v>689</v>
      </c>
      <c r="E266" s="72" t="s">
        <v>48</v>
      </c>
      <c r="F266" s="73" t="s">
        <v>689</v>
      </c>
      <c r="G266" s="73" t="s">
        <v>402</v>
      </c>
    </row>
    <row r="267" spans="1:7" x14ac:dyDescent="0.25">
      <c r="A267" s="71">
        <v>266</v>
      </c>
      <c r="B267" s="72" t="s">
        <v>691</v>
      </c>
      <c r="C267" s="72" t="s">
        <v>692</v>
      </c>
      <c r="D267" s="72" t="s">
        <v>691</v>
      </c>
      <c r="E267" s="72" t="s">
        <v>48</v>
      </c>
      <c r="F267" s="73" t="s">
        <v>691</v>
      </c>
      <c r="G267" s="73" t="s">
        <v>402</v>
      </c>
    </row>
    <row r="268" spans="1:7" x14ac:dyDescent="0.25">
      <c r="A268" s="71">
        <v>267</v>
      </c>
      <c r="B268" s="72" t="s">
        <v>693</v>
      </c>
      <c r="C268" s="72" t="s">
        <v>694</v>
      </c>
      <c r="D268" s="72" t="s">
        <v>693</v>
      </c>
      <c r="E268" s="72" t="s">
        <v>35</v>
      </c>
      <c r="F268" s="73" t="s">
        <v>693</v>
      </c>
      <c r="G268" s="73" t="s">
        <v>188</v>
      </c>
    </row>
    <row r="269" spans="1:7" x14ac:dyDescent="0.25">
      <c r="A269" s="71">
        <v>268</v>
      </c>
      <c r="B269" s="72" t="s">
        <v>695</v>
      </c>
      <c r="C269" s="72" t="s">
        <v>696</v>
      </c>
      <c r="D269" s="72" t="s">
        <v>695</v>
      </c>
      <c r="E269" s="72" t="s">
        <v>35</v>
      </c>
      <c r="F269" s="73" t="s">
        <v>695</v>
      </c>
      <c r="G269" s="73" t="s">
        <v>188</v>
      </c>
    </row>
    <row r="270" spans="1:7" x14ac:dyDescent="0.25">
      <c r="A270" s="71">
        <v>269</v>
      </c>
      <c r="B270" s="72" t="s">
        <v>697</v>
      </c>
      <c r="C270" s="72" t="s">
        <v>698</v>
      </c>
      <c r="D270" s="72" t="s">
        <v>697</v>
      </c>
      <c r="E270" s="72" t="s">
        <v>49</v>
      </c>
      <c r="F270" s="73" t="s">
        <v>697</v>
      </c>
      <c r="G270" s="73" t="s">
        <v>460</v>
      </c>
    </row>
    <row r="271" spans="1:7" x14ac:dyDescent="0.25">
      <c r="A271" s="71">
        <v>270</v>
      </c>
      <c r="B271" s="72" t="s">
        <v>699</v>
      </c>
      <c r="C271" s="72" t="s">
        <v>700</v>
      </c>
      <c r="D271" s="72" t="s">
        <v>699</v>
      </c>
      <c r="E271" s="72" t="s">
        <v>49</v>
      </c>
      <c r="F271" s="73" t="s">
        <v>699</v>
      </c>
      <c r="G271" s="73" t="s">
        <v>460</v>
      </c>
    </row>
    <row r="272" spans="1:7" x14ac:dyDescent="0.25">
      <c r="A272" s="71">
        <v>271</v>
      </c>
      <c r="B272" s="72" t="s">
        <v>701</v>
      </c>
      <c r="C272" s="72" t="s">
        <v>702</v>
      </c>
      <c r="D272" s="72" t="s">
        <v>701</v>
      </c>
      <c r="E272" s="72" t="s">
        <v>35</v>
      </c>
      <c r="F272" s="73" t="s">
        <v>701</v>
      </c>
      <c r="G272" s="73" t="s">
        <v>188</v>
      </c>
    </row>
    <row r="273" spans="1:7" x14ac:dyDescent="0.25">
      <c r="A273" s="71">
        <v>272</v>
      </c>
      <c r="B273" s="72" t="s">
        <v>703</v>
      </c>
      <c r="C273" s="72" t="s">
        <v>704</v>
      </c>
      <c r="D273" s="72" t="s">
        <v>703</v>
      </c>
      <c r="E273" s="72" t="s">
        <v>35</v>
      </c>
      <c r="F273" s="73" t="s">
        <v>703</v>
      </c>
      <c r="G273" s="73" t="s">
        <v>188</v>
      </c>
    </row>
    <row r="274" spans="1:7" x14ac:dyDescent="0.25">
      <c r="A274" s="71">
        <v>273</v>
      </c>
      <c r="B274" s="72" t="s">
        <v>705</v>
      </c>
      <c r="C274" s="72" t="s">
        <v>706</v>
      </c>
      <c r="D274" s="72" t="s">
        <v>705</v>
      </c>
      <c r="E274" s="72" t="s">
        <v>35</v>
      </c>
      <c r="F274" s="73" t="s">
        <v>705</v>
      </c>
      <c r="G274" s="73" t="s">
        <v>188</v>
      </c>
    </row>
    <row r="275" spans="1:7" x14ac:dyDescent="0.25">
      <c r="A275" s="71">
        <v>274</v>
      </c>
      <c r="B275" s="72" t="s">
        <v>707</v>
      </c>
      <c r="C275" s="72" t="s">
        <v>708</v>
      </c>
      <c r="D275" s="72" t="s">
        <v>707</v>
      </c>
      <c r="E275" s="72" t="s">
        <v>35</v>
      </c>
      <c r="F275" s="73" t="s">
        <v>707</v>
      </c>
      <c r="G275" s="73" t="s">
        <v>188</v>
      </c>
    </row>
    <row r="276" spans="1:7" x14ac:dyDescent="0.25">
      <c r="A276" s="71">
        <v>275</v>
      </c>
      <c r="B276" s="72" t="s">
        <v>709</v>
      </c>
      <c r="C276" s="72" t="s">
        <v>710</v>
      </c>
      <c r="D276" s="72" t="s">
        <v>709</v>
      </c>
      <c r="E276" s="72" t="s">
        <v>49</v>
      </c>
      <c r="F276" s="73" t="s">
        <v>709</v>
      </c>
      <c r="G276" s="73" t="s">
        <v>460</v>
      </c>
    </row>
    <row r="277" spans="1:7" x14ac:dyDescent="0.25">
      <c r="A277" s="71">
        <v>276</v>
      </c>
      <c r="B277" s="72" t="s">
        <v>711</v>
      </c>
      <c r="C277" s="72" t="s">
        <v>712</v>
      </c>
      <c r="D277" s="72" t="s">
        <v>711</v>
      </c>
      <c r="E277" s="72" t="s">
        <v>48</v>
      </c>
      <c r="F277" s="73" t="s">
        <v>711</v>
      </c>
      <c r="G277" s="73" t="s">
        <v>402</v>
      </c>
    </row>
    <row r="278" spans="1:7" x14ac:dyDescent="0.25">
      <c r="A278" s="71">
        <v>277</v>
      </c>
      <c r="B278" s="72" t="s">
        <v>713</v>
      </c>
      <c r="C278" s="72" t="s">
        <v>714</v>
      </c>
      <c r="D278" s="72" t="s">
        <v>713</v>
      </c>
      <c r="E278" s="72" t="s">
        <v>35</v>
      </c>
      <c r="F278" s="73" t="s">
        <v>713</v>
      </c>
      <c r="G278" s="73" t="s">
        <v>188</v>
      </c>
    </row>
    <row r="279" spans="1:7" x14ac:dyDescent="0.25">
      <c r="A279" s="71">
        <v>278</v>
      </c>
      <c r="B279" s="72" t="s">
        <v>715</v>
      </c>
      <c r="C279" s="72" t="s">
        <v>716</v>
      </c>
      <c r="D279" s="72" t="s">
        <v>715</v>
      </c>
      <c r="E279" s="72" t="s">
        <v>49</v>
      </c>
      <c r="F279" s="73" t="s">
        <v>715</v>
      </c>
      <c r="G279" s="73" t="s">
        <v>460</v>
      </c>
    </row>
    <row r="280" spans="1:7" x14ac:dyDescent="0.25">
      <c r="A280" s="71">
        <v>279</v>
      </c>
      <c r="B280" s="72" t="s">
        <v>717</v>
      </c>
      <c r="C280" s="72" t="s">
        <v>718</v>
      </c>
      <c r="D280" s="72" t="s">
        <v>717</v>
      </c>
      <c r="E280" s="72" t="s">
        <v>49</v>
      </c>
      <c r="F280" s="73" t="s">
        <v>717</v>
      </c>
      <c r="G280" s="73" t="s">
        <v>460</v>
      </c>
    </row>
    <row r="281" spans="1:7" x14ac:dyDescent="0.25">
      <c r="A281" s="71">
        <v>280</v>
      </c>
      <c r="B281" s="72" t="s">
        <v>719</v>
      </c>
      <c r="C281" s="72" t="s">
        <v>720</v>
      </c>
      <c r="D281" s="72" t="s">
        <v>719</v>
      </c>
      <c r="E281" s="72" t="s">
        <v>49</v>
      </c>
      <c r="F281" s="73" t="s">
        <v>719</v>
      </c>
      <c r="G281" s="73" t="s">
        <v>460</v>
      </c>
    </row>
    <row r="282" spans="1:7" x14ac:dyDescent="0.25">
      <c r="A282" s="71">
        <v>281</v>
      </c>
      <c r="B282" s="72" t="s">
        <v>721</v>
      </c>
      <c r="C282" s="72" t="s">
        <v>722</v>
      </c>
      <c r="D282" s="72" t="s">
        <v>721</v>
      </c>
      <c r="E282" s="72" t="s">
        <v>39</v>
      </c>
      <c r="F282" s="73" t="s">
        <v>721</v>
      </c>
      <c r="G282" s="73" t="s">
        <v>188</v>
      </c>
    </row>
    <row r="283" spans="1:7" x14ac:dyDescent="0.25">
      <c r="A283" s="71">
        <v>282</v>
      </c>
      <c r="B283" s="72" t="s">
        <v>723</v>
      </c>
      <c r="C283" s="72" t="s">
        <v>724</v>
      </c>
      <c r="D283" s="72" t="s">
        <v>723</v>
      </c>
      <c r="E283" s="72" t="s">
        <v>49</v>
      </c>
      <c r="F283" s="73" t="s">
        <v>723</v>
      </c>
      <c r="G283" s="73" t="s">
        <v>460</v>
      </c>
    </row>
    <row r="284" spans="1:7" x14ac:dyDescent="0.25">
      <c r="A284" s="71">
        <v>283</v>
      </c>
      <c r="B284" s="72" t="s">
        <v>725</v>
      </c>
      <c r="C284" s="72" t="s">
        <v>726</v>
      </c>
      <c r="D284" s="72" t="s">
        <v>725</v>
      </c>
      <c r="E284" s="72" t="s">
        <v>35</v>
      </c>
      <c r="F284" s="73" t="s">
        <v>725</v>
      </c>
      <c r="G284" s="73" t="s">
        <v>188</v>
      </c>
    </row>
    <row r="285" spans="1:7" x14ac:dyDescent="0.25">
      <c r="A285" s="71">
        <v>284</v>
      </c>
      <c r="B285" s="72" t="s">
        <v>727</v>
      </c>
      <c r="C285" s="72" t="s">
        <v>728</v>
      </c>
      <c r="D285" s="72" t="s">
        <v>727</v>
      </c>
      <c r="E285" s="72" t="s">
        <v>35</v>
      </c>
      <c r="F285" s="73" t="s">
        <v>727</v>
      </c>
      <c r="G285" s="73" t="s">
        <v>188</v>
      </c>
    </row>
    <row r="286" spans="1:7" x14ac:dyDescent="0.25">
      <c r="A286" s="71">
        <v>285</v>
      </c>
      <c r="B286" s="72" t="s">
        <v>729</v>
      </c>
      <c r="C286" s="72" t="s">
        <v>730</v>
      </c>
      <c r="D286" s="72" t="s">
        <v>729</v>
      </c>
      <c r="E286" s="72" t="s">
        <v>39</v>
      </c>
      <c r="F286" s="73" t="s">
        <v>729</v>
      </c>
      <c r="G286" s="73" t="s">
        <v>188</v>
      </c>
    </row>
    <row r="287" spans="1:7" x14ac:dyDescent="0.25">
      <c r="A287" s="71">
        <v>286</v>
      </c>
      <c r="B287" s="72" t="s">
        <v>731</v>
      </c>
      <c r="C287" s="72" t="s">
        <v>732</v>
      </c>
      <c r="D287" s="72" t="s">
        <v>731</v>
      </c>
      <c r="E287" s="72" t="s">
        <v>48</v>
      </c>
      <c r="F287" s="73" t="s">
        <v>731</v>
      </c>
      <c r="G287" s="73" t="s">
        <v>402</v>
      </c>
    </row>
    <row r="288" spans="1:7" x14ac:dyDescent="0.25">
      <c r="A288" s="71">
        <v>287</v>
      </c>
      <c r="B288" s="72" t="s">
        <v>733</v>
      </c>
      <c r="C288" s="72" t="s">
        <v>734</v>
      </c>
      <c r="D288" s="72" t="s">
        <v>733</v>
      </c>
      <c r="E288" s="72" t="s">
        <v>35</v>
      </c>
      <c r="F288" s="73" t="s">
        <v>733</v>
      </c>
      <c r="G288" s="73" t="s">
        <v>188</v>
      </c>
    </row>
    <row r="289" spans="1:7" x14ac:dyDescent="0.25">
      <c r="A289" s="71">
        <v>288</v>
      </c>
      <c r="B289" s="72" t="s">
        <v>735</v>
      </c>
      <c r="C289" s="72" t="s">
        <v>736</v>
      </c>
      <c r="D289" s="72" t="s">
        <v>735</v>
      </c>
      <c r="E289" s="72" t="s">
        <v>49</v>
      </c>
      <c r="F289" s="73" t="s">
        <v>735</v>
      </c>
      <c r="G289" s="73" t="s">
        <v>460</v>
      </c>
    </row>
    <row r="290" spans="1:7" x14ac:dyDescent="0.25">
      <c r="A290" s="71">
        <v>289</v>
      </c>
      <c r="B290" s="72" t="s">
        <v>737</v>
      </c>
      <c r="C290" s="72" t="s">
        <v>738</v>
      </c>
      <c r="D290" s="72" t="s">
        <v>737</v>
      </c>
      <c r="E290" s="72" t="s">
        <v>35</v>
      </c>
      <c r="F290" s="73" t="s">
        <v>737</v>
      </c>
      <c r="G290" s="73" t="s">
        <v>188</v>
      </c>
    </row>
    <row r="291" spans="1:7" x14ac:dyDescent="0.25">
      <c r="A291" s="71">
        <v>290</v>
      </c>
      <c r="B291" s="72" t="s">
        <v>739</v>
      </c>
      <c r="C291" s="72" t="s">
        <v>740</v>
      </c>
      <c r="D291" s="72" t="s">
        <v>739</v>
      </c>
      <c r="E291" s="72" t="s">
        <v>39</v>
      </c>
      <c r="F291" s="73" t="s">
        <v>739</v>
      </c>
      <c r="G291" s="73" t="s">
        <v>188</v>
      </c>
    </row>
    <row r="292" spans="1:7" x14ac:dyDescent="0.25">
      <c r="A292" s="71">
        <v>291</v>
      </c>
      <c r="B292" s="72" t="s">
        <v>741</v>
      </c>
      <c r="C292" s="72" t="s">
        <v>742</v>
      </c>
      <c r="D292" s="72" t="s">
        <v>741</v>
      </c>
      <c r="E292" s="72" t="s">
        <v>35</v>
      </c>
      <c r="F292" s="73" t="s">
        <v>741</v>
      </c>
      <c r="G292" s="73" t="s">
        <v>188</v>
      </c>
    </row>
    <row r="293" spans="1:7" x14ac:dyDescent="0.25">
      <c r="A293" s="71">
        <v>292</v>
      </c>
      <c r="B293" s="72" t="s">
        <v>743</v>
      </c>
      <c r="C293" s="72" t="s">
        <v>744</v>
      </c>
      <c r="D293" s="72" t="s">
        <v>743</v>
      </c>
      <c r="E293" s="72" t="s">
        <v>35</v>
      </c>
      <c r="F293" s="73" t="s">
        <v>743</v>
      </c>
      <c r="G293" s="73" t="s">
        <v>188</v>
      </c>
    </row>
    <row r="294" spans="1:7" x14ac:dyDescent="0.25">
      <c r="A294" s="71">
        <v>293</v>
      </c>
      <c r="B294" s="72" t="s">
        <v>745</v>
      </c>
      <c r="C294" s="72" t="s">
        <v>746</v>
      </c>
      <c r="D294" s="72" t="s">
        <v>745</v>
      </c>
      <c r="E294" s="72" t="s">
        <v>49</v>
      </c>
      <c r="F294" s="73" t="s">
        <v>745</v>
      </c>
      <c r="G294" s="73" t="s">
        <v>460</v>
      </c>
    </row>
    <row r="295" spans="1:7" x14ac:dyDescent="0.25">
      <c r="A295" s="71">
        <v>294</v>
      </c>
      <c r="B295" s="72" t="s">
        <v>747</v>
      </c>
      <c r="C295" s="72" t="s">
        <v>748</v>
      </c>
      <c r="D295" s="72" t="s">
        <v>747</v>
      </c>
      <c r="E295" s="72" t="s">
        <v>49</v>
      </c>
      <c r="F295" s="73" t="s">
        <v>747</v>
      </c>
      <c r="G295" s="73" t="s">
        <v>460</v>
      </c>
    </row>
    <row r="296" spans="1:7" x14ac:dyDescent="0.25">
      <c r="A296" s="71">
        <v>295</v>
      </c>
      <c r="B296" s="72" t="s">
        <v>749</v>
      </c>
      <c r="C296" s="72" t="s">
        <v>750</v>
      </c>
      <c r="D296" s="72" t="s">
        <v>749</v>
      </c>
      <c r="E296" s="72" t="s">
        <v>48</v>
      </c>
      <c r="F296" s="73" t="s">
        <v>749</v>
      </c>
      <c r="G296" s="73" t="s">
        <v>402</v>
      </c>
    </row>
    <row r="297" spans="1:7" x14ac:dyDescent="0.25">
      <c r="A297" s="71">
        <v>296</v>
      </c>
      <c r="B297" s="72" t="s">
        <v>751</v>
      </c>
      <c r="C297" s="72" t="s">
        <v>752</v>
      </c>
      <c r="D297" s="72" t="s">
        <v>751</v>
      </c>
      <c r="E297" s="72" t="s">
        <v>48</v>
      </c>
      <c r="F297" s="73" t="s">
        <v>751</v>
      </c>
      <c r="G297" s="73" t="s">
        <v>402</v>
      </c>
    </row>
    <row r="298" spans="1:7" x14ac:dyDescent="0.25">
      <c r="A298" s="71">
        <v>297</v>
      </c>
      <c r="B298" s="72" t="s">
        <v>753</v>
      </c>
      <c r="C298" s="72" t="s">
        <v>754</v>
      </c>
      <c r="D298" s="72" t="s">
        <v>753</v>
      </c>
      <c r="E298" s="72" t="s">
        <v>39</v>
      </c>
      <c r="F298" s="73" t="s">
        <v>753</v>
      </c>
      <c r="G298" s="73" t="s">
        <v>188</v>
      </c>
    </row>
    <row r="299" spans="1:7" x14ac:dyDescent="0.25">
      <c r="A299" s="71">
        <v>298</v>
      </c>
      <c r="B299" s="72" t="s">
        <v>755</v>
      </c>
      <c r="C299" s="72" t="s">
        <v>756</v>
      </c>
      <c r="D299" s="72" t="s">
        <v>755</v>
      </c>
      <c r="E299" s="72" t="s">
        <v>46</v>
      </c>
      <c r="F299" s="73" t="s">
        <v>755</v>
      </c>
      <c r="G299" s="73" t="s">
        <v>460</v>
      </c>
    </row>
    <row r="300" spans="1:7" x14ac:dyDescent="0.25">
      <c r="A300" s="71">
        <v>299</v>
      </c>
      <c r="B300" s="72" t="s">
        <v>81</v>
      </c>
      <c r="C300" s="72" t="s">
        <v>757</v>
      </c>
      <c r="D300" s="72" t="s">
        <v>81</v>
      </c>
      <c r="E300" s="72" t="s">
        <v>35</v>
      </c>
      <c r="F300" s="73" t="s">
        <v>81</v>
      </c>
      <c r="G300" s="73" t="s">
        <v>188</v>
      </c>
    </row>
    <row r="301" spans="1:7" x14ac:dyDescent="0.25">
      <c r="A301" s="71">
        <v>300</v>
      </c>
      <c r="B301" s="72" t="s">
        <v>758</v>
      </c>
      <c r="C301" s="72" t="s">
        <v>759</v>
      </c>
      <c r="D301" s="72" t="s">
        <v>758</v>
      </c>
      <c r="E301" s="72" t="s">
        <v>35</v>
      </c>
      <c r="F301" s="73" t="s">
        <v>758</v>
      </c>
      <c r="G301" s="73" t="s">
        <v>188</v>
      </c>
    </row>
    <row r="302" spans="1:7" x14ac:dyDescent="0.25">
      <c r="A302" s="71">
        <v>301</v>
      </c>
      <c r="B302" s="72" t="s">
        <v>760</v>
      </c>
      <c r="C302" s="72" t="s">
        <v>761</v>
      </c>
      <c r="D302" s="72" t="s">
        <v>760</v>
      </c>
      <c r="E302" s="72" t="s">
        <v>35</v>
      </c>
      <c r="F302" s="73" t="s">
        <v>760</v>
      </c>
      <c r="G302" s="73" t="s">
        <v>188</v>
      </c>
    </row>
    <row r="303" spans="1:7" x14ac:dyDescent="0.25">
      <c r="A303" s="71">
        <v>302</v>
      </c>
      <c r="B303" s="72" t="s">
        <v>762</v>
      </c>
      <c r="C303" s="72" t="s">
        <v>763</v>
      </c>
      <c r="D303" s="72" t="s">
        <v>762</v>
      </c>
      <c r="E303" s="72" t="s">
        <v>35</v>
      </c>
      <c r="F303" s="73" t="s">
        <v>762</v>
      </c>
      <c r="G303" s="73" t="s">
        <v>188</v>
      </c>
    </row>
    <row r="304" spans="1:7" x14ac:dyDescent="0.25">
      <c r="A304" s="71">
        <v>303</v>
      </c>
      <c r="B304" s="72" t="s">
        <v>764</v>
      </c>
      <c r="C304" s="72" t="s">
        <v>765</v>
      </c>
      <c r="D304" s="72" t="s">
        <v>764</v>
      </c>
      <c r="E304" s="72" t="s">
        <v>35</v>
      </c>
      <c r="F304" s="73" t="s">
        <v>764</v>
      </c>
      <c r="G304" s="73" t="s">
        <v>188</v>
      </c>
    </row>
    <row r="305" spans="1:7" x14ac:dyDescent="0.25">
      <c r="A305" s="71">
        <v>304</v>
      </c>
      <c r="B305" s="72" t="s">
        <v>766</v>
      </c>
      <c r="C305" s="72" t="s">
        <v>767</v>
      </c>
      <c r="D305" s="72" t="s">
        <v>766</v>
      </c>
      <c r="E305" s="72" t="s">
        <v>33</v>
      </c>
      <c r="F305" s="73" t="s">
        <v>766</v>
      </c>
      <c r="G305" s="73" t="s">
        <v>188</v>
      </c>
    </row>
    <row r="306" spans="1:7" x14ac:dyDescent="0.25">
      <c r="A306" s="71">
        <v>305</v>
      </c>
      <c r="B306" s="72" t="s">
        <v>768</v>
      </c>
      <c r="C306" s="72" t="s">
        <v>769</v>
      </c>
      <c r="D306" s="72" t="s">
        <v>768</v>
      </c>
      <c r="E306" s="72" t="s">
        <v>49</v>
      </c>
      <c r="F306" s="73" t="s">
        <v>768</v>
      </c>
      <c r="G306" s="73" t="s">
        <v>460</v>
      </c>
    </row>
    <row r="307" spans="1:7" x14ac:dyDescent="0.25">
      <c r="A307" s="71">
        <v>306</v>
      </c>
      <c r="B307" s="72" t="s">
        <v>770</v>
      </c>
      <c r="C307" s="72" t="s">
        <v>771</v>
      </c>
      <c r="D307" s="72" t="s">
        <v>770</v>
      </c>
      <c r="E307" s="72" t="s">
        <v>48</v>
      </c>
      <c r="F307" s="73" t="s">
        <v>770</v>
      </c>
      <c r="G307" s="73" t="s">
        <v>402</v>
      </c>
    </row>
    <row r="308" spans="1:7" x14ac:dyDescent="0.25">
      <c r="A308" s="71">
        <v>307</v>
      </c>
      <c r="B308" s="72" t="s">
        <v>772</v>
      </c>
      <c r="C308" s="72" t="s">
        <v>773</v>
      </c>
      <c r="D308" s="72" t="s">
        <v>772</v>
      </c>
      <c r="E308" s="72" t="s">
        <v>35</v>
      </c>
      <c r="F308" s="73" t="s">
        <v>772</v>
      </c>
      <c r="G308" s="73" t="s">
        <v>188</v>
      </c>
    </row>
    <row r="309" spans="1:7" x14ac:dyDescent="0.25">
      <c r="A309" s="71">
        <v>308</v>
      </c>
      <c r="B309" s="72" t="s">
        <v>774</v>
      </c>
      <c r="C309" s="72" t="s">
        <v>775</v>
      </c>
      <c r="D309" s="72" t="s">
        <v>774</v>
      </c>
      <c r="E309" s="72" t="s">
        <v>35</v>
      </c>
      <c r="F309" s="73" t="s">
        <v>774</v>
      </c>
      <c r="G309" s="73" t="s">
        <v>188</v>
      </c>
    </row>
    <row r="310" spans="1:7" x14ac:dyDescent="0.25">
      <c r="A310" s="71">
        <v>309</v>
      </c>
      <c r="B310" s="72" t="s">
        <v>118</v>
      </c>
      <c r="C310" s="72" t="s">
        <v>776</v>
      </c>
      <c r="D310" s="72" t="s">
        <v>118</v>
      </c>
      <c r="E310" s="72" t="s">
        <v>35</v>
      </c>
      <c r="F310" s="73" t="s">
        <v>118</v>
      </c>
      <c r="G310" s="73" t="s">
        <v>188</v>
      </c>
    </row>
    <row r="311" spans="1:7" x14ac:dyDescent="0.25">
      <c r="A311" s="71">
        <v>310</v>
      </c>
      <c r="B311" s="72" t="s">
        <v>777</v>
      </c>
      <c r="C311" s="72" t="s">
        <v>778</v>
      </c>
      <c r="D311" s="72" t="s">
        <v>777</v>
      </c>
      <c r="E311" s="72" t="s">
        <v>39</v>
      </c>
      <c r="F311" s="73" t="s">
        <v>777</v>
      </c>
      <c r="G311" s="73" t="s">
        <v>188</v>
      </c>
    </row>
    <row r="312" spans="1:7" x14ac:dyDescent="0.25">
      <c r="A312" s="71">
        <v>311</v>
      </c>
      <c r="B312" s="72" t="s">
        <v>779</v>
      </c>
      <c r="C312" s="72" t="s">
        <v>780</v>
      </c>
      <c r="D312" s="72" t="s">
        <v>779</v>
      </c>
      <c r="E312" s="72" t="s">
        <v>39</v>
      </c>
      <c r="F312" s="73" t="s">
        <v>779</v>
      </c>
      <c r="G312" s="73" t="s">
        <v>188</v>
      </c>
    </row>
    <row r="313" spans="1:7" x14ac:dyDescent="0.25">
      <c r="A313" s="71">
        <v>312</v>
      </c>
      <c r="B313" s="72" t="s">
        <v>781</v>
      </c>
      <c r="C313" s="72" t="s">
        <v>782</v>
      </c>
      <c r="D313" s="72" t="s">
        <v>781</v>
      </c>
      <c r="E313" s="72" t="s">
        <v>35</v>
      </c>
      <c r="F313" s="73" t="s">
        <v>781</v>
      </c>
      <c r="G313" s="73" t="s">
        <v>188</v>
      </c>
    </row>
    <row r="314" spans="1:7" x14ac:dyDescent="0.25">
      <c r="A314" s="71">
        <v>313</v>
      </c>
      <c r="B314" s="72" t="s">
        <v>783</v>
      </c>
      <c r="C314" s="72" t="s">
        <v>784</v>
      </c>
      <c r="D314" s="72" t="s">
        <v>783</v>
      </c>
      <c r="E314" s="72" t="s">
        <v>35</v>
      </c>
      <c r="F314" s="73" t="s">
        <v>783</v>
      </c>
      <c r="G314" s="73" t="s">
        <v>188</v>
      </c>
    </row>
    <row r="315" spans="1:7" x14ac:dyDescent="0.25">
      <c r="A315" s="71">
        <v>314</v>
      </c>
      <c r="B315" s="72" t="s">
        <v>785</v>
      </c>
      <c r="C315" s="72" t="s">
        <v>786</v>
      </c>
      <c r="D315" s="72" t="s">
        <v>785</v>
      </c>
      <c r="E315" s="72" t="s">
        <v>49</v>
      </c>
      <c r="F315" s="73" t="s">
        <v>785</v>
      </c>
      <c r="G315" s="73" t="s">
        <v>460</v>
      </c>
    </row>
    <row r="316" spans="1:7" x14ac:dyDescent="0.25">
      <c r="A316" s="71">
        <v>315</v>
      </c>
      <c r="B316" s="72" t="s">
        <v>787</v>
      </c>
      <c r="C316" s="72" t="s">
        <v>788</v>
      </c>
      <c r="D316" s="72" t="s">
        <v>787</v>
      </c>
      <c r="E316" s="72" t="s">
        <v>35</v>
      </c>
      <c r="F316" s="73" t="s">
        <v>787</v>
      </c>
      <c r="G316" s="73" t="s">
        <v>188</v>
      </c>
    </row>
    <row r="317" spans="1:7" x14ac:dyDescent="0.25">
      <c r="A317" s="71">
        <v>316</v>
      </c>
      <c r="B317" s="72" t="s">
        <v>789</v>
      </c>
      <c r="C317" s="72" t="s">
        <v>790</v>
      </c>
      <c r="D317" s="72" t="s">
        <v>789</v>
      </c>
      <c r="E317" s="72" t="s">
        <v>35</v>
      </c>
      <c r="F317" s="73" t="s">
        <v>789</v>
      </c>
      <c r="G317" s="73" t="s">
        <v>188</v>
      </c>
    </row>
    <row r="318" spans="1:7" x14ac:dyDescent="0.25">
      <c r="A318" s="71">
        <v>317</v>
      </c>
      <c r="B318" s="72" t="s">
        <v>791</v>
      </c>
      <c r="C318" s="72" t="s">
        <v>792</v>
      </c>
      <c r="D318" s="72" t="s">
        <v>791</v>
      </c>
      <c r="E318" s="72" t="s">
        <v>33</v>
      </c>
      <c r="F318" s="73" t="s">
        <v>791</v>
      </c>
      <c r="G318" s="73" t="s">
        <v>188</v>
      </c>
    </row>
    <row r="319" spans="1:7" x14ac:dyDescent="0.25">
      <c r="A319" s="71">
        <v>318</v>
      </c>
      <c r="B319" s="72" t="s">
        <v>793</v>
      </c>
      <c r="C319" s="72" t="s">
        <v>794</v>
      </c>
      <c r="D319" s="72" t="s">
        <v>793</v>
      </c>
      <c r="E319" s="72" t="s">
        <v>48</v>
      </c>
      <c r="F319" s="73" t="s">
        <v>793</v>
      </c>
      <c r="G319" s="73" t="s">
        <v>402</v>
      </c>
    </row>
    <row r="320" spans="1:7" x14ac:dyDescent="0.25">
      <c r="A320" s="71">
        <v>319</v>
      </c>
      <c r="B320" s="72" t="s">
        <v>795</v>
      </c>
      <c r="C320" s="72" t="s">
        <v>796</v>
      </c>
      <c r="D320" s="72" t="s">
        <v>795</v>
      </c>
      <c r="E320" s="72" t="s">
        <v>35</v>
      </c>
      <c r="F320" s="73" t="s">
        <v>795</v>
      </c>
      <c r="G320" s="73" t="s">
        <v>188</v>
      </c>
    </row>
    <row r="321" spans="1:7" x14ac:dyDescent="0.25">
      <c r="A321" s="71">
        <v>320</v>
      </c>
      <c r="B321" s="72" t="s">
        <v>797</v>
      </c>
      <c r="C321" s="72" t="s">
        <v>798</v>
      </c>
      <c r="D321" s="72" t="s">
        <v>797</v>
      </c>
      <c r="E321" s="72" t="s">
        <v>35</v>
      </c>
      <c r="F321" s="73" t="s">
        <v>797</v>
      </c>
      <c r="G321" s="73" t="s">
        <v>188</v>
      </c>
    </row>
    <row r="322" spans="1:7" x14ac:dyDescent="0.25">
      <c r="A322" s="71">
        <v>321</v>
      </c>
      <c r="B322" s="72" t="s">
        <v>799</v>
      </c>
      <c r="C322" s="72" t="s">
        <v>800</v>
      </c>
      <c r="D322" s="72" t="s">
        <v>799</v>
      </c>
      <c r="E322" s="72" t="s">
        <v>49</v>
      </c>
      <c r="F322" s="73" t="s">
        <v>799</v>
      </c>
      <c r="G322" s="73" t="s">
        <v>460</v>
      </c>
    </row>
    <row r="323" spans="1:7" x14ac:dyDescent="0.25">
      <c r="A323" s="71">
        <v>322</v>
      </c>
      <c r="B323" s="72" t="s">
        <v>801</v>
      </c>
      <c r="C323" s="72" t="s">
        <v>802</v>
      </c>
      <c r="D323" s="72" t="s">
        <v>801</v>
      </c>
      <c r="E323" s="72" t="s">
        <v>48</v>
      </c>
      <c r="F323" s="73" t="s">
        <v>801</v>
      </c>
      <c r="G323" s="73" t="s">
        <v>402</v>
      </c>
    </row>
    <row r="324" spans="1:7" x14ac:dyDescent="0.25">
      <c r="A324" s="71">
        <v>323</v>
      </c>
      <c r="B324" s="72" t="s">
        <v>803</v>
      </c>
      <c r="C324" s="72" t="s">
        <v>804</v>
      </c>
      <c r="D324" s="72" t="s">
        <v>803</v>
      </c>
      <c r="E324" s="72" t="s">
        <v>35</v>
      </c>
      <c r="F324" s="73" t="s">
        <v>803</v>
      </c>
      <c r="G324" s="73" t="s">
        <v>188</v>
      </c>
    </row>
    <row r="325" spans="1:7" x14ac:dyDescent="0.25">
      <c r="A325" s="71">
        <v>324</v>
      </c>
      <c r="B325" s="72" t="s">
        <v>805</v>
      </c>
      <c r="C325" s="72" t="s">
        <v>806</v>
      </c>
      <c r="D325" s="72" t="s">
        <v>805</v>
      </c>
      <c r="E325" s="72" t="s">
        <v>49</v>
      </c>
      <c r="F325" s="73" t="s">
        <v>805</v>
      </c>
      <c r="G325" s="73" t="s">
        <v>460</v>
      </c>
    </row>
    <row r="326" spans="1:7" x14ac:dyDescent="0.25">
      <c r="A326" s="71">
        <v>325</v>
      </c>
      <c r="B326" s="72" t="s">
        <v>807</v>
      </c>
      <c r="C326" s="72" t="s">
        <v>808</v>
      </c>
      <c r="D326" s="72" t="s">
        <v>807</v>
      </c>
      <c r="E326" s="72" t="s">
        <v>35</v>
      </c>
      <c r="F326" s="73" t="s">
        <v>807</v>
      </c>
      <c r="G326" s="73" t="s">
        <v>188</v>
      </c>
    </row>
    <row r="327" spans="1:7" x14ac:dyDescent="0.25">
      <c r="A327" s="71">
        <v>326</v>
      </c>
      <c r="B327" s="72" t="s">
        <v>809</v>
      </c>
      <c r="C327" s="72" t="s">
        <v>810</v>
      </c>
      <c r="D327" s="72" t="s">
        <v>809</v>
      </c>
      <c r="E327" s="72" t="s">
        <v>48</v>
      </c>
      <c r="F327" s="73" t="s">
        <v>809</v>
      </c>
      <c r="G327" s="73" t="s">
        <v>402</v>
      </c>
    </row>
    <row r="328" spans="1:7" x14ac:dyDescent="0.25">
      <c r="A328" s="71">
        <v>327</v>
      </c>
      <c r="B328" s="72" t="s">
        <v>811</v>
      </c>
      <c r="C328" s="72" t="s">
        <v>812</v>
      </c>
      <c r="D328" s="72" t="s">
        <v>811</v>
      </c>
      <c r="E328" s="72" t="s">
        <v>47</v>
      </c>
      <c r="F328" s="73" t="s">
        <v>811</v>
      </c>
      <c r="G328" s="73" t="s">
        <v>188</v>
      </c>
    </row>
    <row r="329" spans="1:7" x14ac:dyDescent="0.25">
      <c r="A329" s="71">
        <v>328</v>
      </c>
      <c r="B329" s="72" t="s">
        <v>91</v>
      </c>
      <c r="C329" s="72" t="s">
        <v>813</v>
      </c>
      <c r="D329" s="72" t="s">
        <v>91</v>
      </c>
      <c r="E329" s="72" t="s">
        <v>43</v>
      </c>
      <c r="F329" s="73" t="s">
        <v>91</v>
      </c>
      <c r="G329" s="73" t="s">
        <v>188</v>
      </c>
    </row>
    <row r="330" spans="1:7" x14ac:dyDescent="0.25">
      <c r="A330" s="71">
        <v>329</v>
      </c>
      <c r="B330" s="72" t="s">
        <v>814</v>
      </c>
      <c r="C330" s="72" t="s">
        <v>815</v>
      </c>
      <c r="D330" s="72" t="s">
        <v>814</v>
      </c>
      <c r="E330" s="72" t="s">
        <v>48</v>
      </c>
      <c r="F330" s="73" t="s">
        <v>814</v>
      </c>
      <c r="G330" s="73" t="s">
        <v>402</v>
      </c>
    </row>
    <row r="331" spans="1:7" x14ac:dyDescent="0.25">
      <c r="A331" s="71">
        <v>330</v>
      </c>
      <c r="B331" s="72" t="s">
        <v>816</v>
      </c>
      <c r="C331" s="72" t="s">
        <v>817</v>
      </c>
      <c r="D331" s="72" t="s">
        <v>816</v>
      </c>
      <c r="E331" s="72" t="s">
        <v>35</v>
      </c>
      <c r="F331" s="73" t="s">
        <v>816</v>
      </c>
      <c r="G331" s="73" t="s">
        <v>188</v>
      </c>
    </row>
    <row r="332" spans="1:7" x14ac:dyDescent="0.25">
      <c r="A332" s="71">
        <v>331</v>
      </c>
      <c r="B332" s="72" t="s">
        <v>818</v>
      </c>
      <c r="C332" s="72" t="s">
        <v>819</v>
      </c>
      <c r="D332" s="72" t="s">
        <v>818</v>
      </c>
      <c r="E332" s="72" t="s">
        <v>45</v>
      </c>
      <c r="F332" s="73" t="s">
        <v>818</v>
      </c>
      <c r="G332" s="73" t="s">
        <v>188</v>
      </c>
    </row>
    <row r="333" spans="1:7" x14ac:dyDescent="0.25">
      <c r="A333" s="71">
        <v>332</v>
      </c>
      <c r="B333" s="72" t="s">
        <v>820</v>
      </c>
      <c r="C333" s="72" t="s">
        <v>821</v>
      </c>
      <c r="D333" s="72" t="s">
        <v>820</v>
      </c>
      <c r="E333" s="72" t="s">
        <v>35</v>
      </c>
      <c r="F333" s="73" t="s">
        <v>820</v>
      </c>
      <c r="G333" s="73" t="s">
        <v>188</v>
      </c>
    </row>
    <row r="334" spans="1:7" x14ac:dyDescent="0.25">
      <c r="A334" s="71">
        <v>333</v>
      </c>
      <c r="B334" s="72" t="s">
        <v>822</v>
      </c>
      <c r="C334" s="72" t="s">
        <v>823</v>
      </c>
      <c r="D334" s="72" t="s">
        <v>822</v>
      </c>
      <c r="E334" s="72" t="s">
        <v>41</v>
      </c>
      <c r="F334" s="73" t="s">
        <v>822</v>
      </c>
      <c r="G334" s="73" t="s">
        <v>460</v>
      </c>
    </row>
    <row r="335" spans="1:7" x14ac:dyDescent="0.25">
      <c r="A335" s="71">
        <v>334</v>
      </c>
      <c r="B335" s="72" t="s">
        <v>824</v>
      </c>
      <c r="C335" s="72" t="s">
        <v>825</v>
      </c>
      <c r="D335" s="72" t="s">
        <v>824</v>
      </c>
      <c r="E335" s="72" t="s">
        <v>35</v>
      </c>
      <c r="F335" s="73" t="s">
        <v>824</v>
      </c>
      <c r="G335" s="73" t="s">
        <v>188</v>
      </c>
    </row>
    <row r="336" spans="1:7" x14ac:dyDescent="0.25">
      <c r="A336" s="71">
        <v>335</v>
      </c>
      <c r="B336" s="72" t="s">
        <v>826</v>
      </c>
      <c r="C336" s="72" t="s">
        <v>827</v>
      </c>
      <c r="D336" s="72" t="s">
        <v>826</v>
      </c>
      <c r="E336" s="72" t="s">
        <v>41</v>
      </c>
      <c r="F336" s="73" t="s">
        <v>826</v>
      </c>
      <c r="G336" s="73" t="s">
        <v>460</v>
      </c>
    </row>
    <row r="337" spans="1:7" x14ac:dyDescent="0.25">
      <c r="A337" s="71">
        <v>336</v>
      </c>
      <c r="B337" s="72" t="s">
        <v>828</v>
      </c>
      <c r="C337" s="72" t="s">
        <v>829</v>
      </c>
      <c r="D337" s="72" t="s">
        <v>828</v>
      </c>
      <c r="E337" s="72" t="s">
        <v>48</v>
      </c>
      <c r="F337" s="73" t="s">
        <v>828</v>
      </c>
      <c r="G337" s="73" t="s">
        <v>402</v>
      </c>
    </row>
    <row r="338" spans="1:7" x14ac:dyDescent="0.25">
      <c r="A338" s="71">
        <v>337</v>
      </c>
      <c r="B338" s="72" t="s">
        <v>830</v>
      </c>
      <c r="C338" s="72" t="s">
        <v>831</v>
      </c>
      <c r="D338" s="72" t="s">
        <v>830</v>
      </c>
      <c r="E338" s="72" t="s">
        <v>43</v>
      </c>
      <c r="F338" s="73" t="s">
        <v>830</v>
      </c>
      <c r="G338" s="73" t="s">
        <v>188</v>
      </c>
    </row>
    <row r="339" spans="1:7" x14ac:dyDescent="0.25">
      <c r="A339" s="71">
        <v>338</v>
      </c>
      <c r="B339" s="72" t="s">
        <v>832</v>
      </c>
      <c r="C339" s="72" t="s">
        <v>833</v>
      </c>
      <c r="D339" s="72" t="s">
        <v>832</v>
      </c>
      <c r="E339" s="72" t="s">
        <v>43</v>
      </c>
      <c r="F339" s="73" t="s">
        <v>832</v>
      </c>
      <c r="G339" s="73" t="s">
        <v>188</v>
      </c>
    </row>
    <row r="340" spans="1:7" x14ac:dyDescent="0.25">
      <c r="A340" s="71">
        <v>339</v>
      </c>
      <c r="B340" s="72" t="s">
        <v>834</v>
      </c>
      <c r="C340" s="72" t="s">
        <v>835</v>
      </c>
      <c r="D340" s="72" t="s">
        <v>834</v>
      </c>
      <c r="E340" s="72" t="s">
        <v>35</v>
      </c>
      <c r="F340" s="73" t="s">
        <v>834</v>
      </c>
      <c r="G340" s="73" t="s">
        <v>188</v>
      </c>
    </row>
    <row r="341" spans="1:7" x14ac:dyDescent="0.25">
      <c r="A341" s="71">
        <v>340</v>
      </c>
      <c r="B341" s="72" t="s">
        <v>836</v>
      </c>
      <c r="C341" s="72" t="s">
        <v>837</v>
      </c>
      <c r="D341" s="72" t="s">
        <v>836</v>
      </c>
      <c r="E341" s="72" t="s">
        <v>35</v>
      </c>
      <c r="F341" s="73" t="s">
        <v>836</v>
      </c>
      <c r="G341" s="73" t="s">
        <v>188</v>
      </c>
    </row>
    <row r="342" spans="1:7" x14ac:dyDescent="0.25">
      <c r="A342" s="71">
        <v>341</v>
      </c>
      <c r="B342" s="72" t="s">
        <v>83</v>
      </c>
      <c r="C342" s="72" t="s">
        <v>838</v>
      </c>
      <c r="D342" s="72" t="s">
        <v>83</v>
      </c>
      <c r="E342" s="72" t="s">
        <v>43</v>
      </c>
      <c r="F342" s="73" t="s">
        <v>83</v>
      </c>
      <c r="G342" s="73" t="s">
        <v>188</v>
      </c>
    </row>
    <row r="343" spans="1:7" x14ac:dyDescent="0.25">
      <c r="A343" s="71">
        <v>342</v>
      </c>
      <c r="B343" s="72" t="s">
        <v>839</v>
      </c>
      <c r="C343" s="72" t="s">
        <v>840</v>
      </c>
      <c r="D343" s="72" t="s">
        <v>839</v>
      </c>
      <c r="E343" s="72" t="s">
        <v>49</v>
      </c>
      <c r="F343" s="73" t="s">
        <v>839</v>
      </c>
      <c r="G343" s="73" t="s">
        <v>460</v>
      </c>
    </row>
    <row r="344" spans="1:7" x14ac:dyDescent="0.25">
      <c r="A344" s="71">
        <v>343</v>
      </c>
      <c r="B344" s="72" t="s">
        <v>841</v>
      </c>
      <c r="C344" s="72" t="s">
        <v>842</v>
      </c>
      <c r="D344" s="72" t="s">
        <v>841</v>
      </c>
      <c r="E344" s="72" t="s">
        <v>35</v>
      </c>
      <c r="F344" s="73" t="s">
        <v>841</v>
      </c>
      <c r="G344" s="73" t="s">
        <v>188</v>
      </c>
    </row>
    <row r="345" spans="1:7" x14ac:dyDescent="0.25">
      <c r="A345" s="71">
        <v>344</v>
      </c>
      <c r="B345" s="72" t="s">
        <v>52</v>
      </c>
      <c r="C345" s="72" t="s">
        <v>843</v>
      </c>
      <c r="D345" s="72" t="s">
        <v>52</v>
      </c>
      <c r="E345" s="72" t="s">
        <v>46</v>
      </c>
      <c r="F345" s="73" t="s">
        <v>52</v>
      </c>
      <c r="G345" s="73" t="s">
        <v>188</v>
      </c>
    </row>
    <row r="346" spans="1:7" x14ac:dyDescent="0.25">
      <c r="A346" s="71">
        <v>345</v>
      </c>
      <c r="B346" s="72" t="s">
        <v>844</v>
      </c>
      <c r="C346" s="72" t="s">
        <v>845</v>
      </c>
      <c r="D346" s="72" t="s">
        <v>844</v>
      </c>
      <c r="E346" s="72" t="s">
        <v>35</v>
      </c>
      <c r="F346" s="73" t="s">
        <v>844</v>
      </c>
      <c r="G346" s="73" t="s">
        <v>188</v>
      </c>
    </row>
    <row r="347" spans="1:7" x14ac:dyDescent="0.25">
      <c r="A347" s="71">
        <v>346</v>
      </c>
      <c r="B347" s="72" t="s">
        <v>846</v>
      </c>
      <c r="C347" s="72" t="s">
        <v>847</v>
      </c>
      <c r="D347" s="72" t="s">
        <v>846</v>
      </c>
      <c r="E347" s="72" t="s">
        <v>35</v>
      </c>
      <c r="F347" s="73" t="s">
        <v>846</v>
      </c>
      <c r="G347" s="73" t="s">
        <v>188</v>
      </c>
    </row>
    <row r="348" spans="1:7" x14ac:dyDescent="0.25">
      <c r="A348" s="71">
        <v>347</v>
      </c>
      <c r="B348" s="72" t="s">
        <v>848</v>
      </c>
      <c r="C348" s="72" t="s">
        <v>849</v>
      </c>
      <c r="D348" s="72" t="s">
        <v>848</v>
      </c>
      <c r="E348" s="72" t="s">
        <v>45</v>
      </c>
      <c r="F348" s="73" t="s">
        <v>848</v>
      </c>
      <c r="G348" s="73" t="s">
        <v>188</v>
      </c>
    </row>
    <row r="349" spans="1:7" x14ac:dyDescent="0.25">
      <c r="A349" s="71">
        <v>348</v>
      </c>
      <c r="B349" s="72" t="s">
        <v>850</v>
      </c>
      <c r="C349" s="72" t="s">
        <v>851</v>
      </c>
      <c r="D349" s="72" t="s">
        <v>850</v>
      </c>
      <c r="E349" s="72" t="s">
        <v>35</v>
      </c>
      <c r="F349" s="73" t="s">
        <v>850</v>
      </c>
      <c r="G349" s="73" t="s">
        <v>188</v>
      </c>
    </row>
    <row r="350" spans="1:7" x14ac:dyDescent="0.25">
      <c r="A350" s="71">
        <v>349</v>
      </c>
      <c r="B350" s="72" t="s">
        <v>852</v>
      </c>
      <c r="C350" s="72" t="s">
        <v>853</v>
      </c>
      <c r="D350" s="72" t="s">
        <v>852</v>
      </c>
      <c r="E350" s="72" t="s">
        <v>35</v>
      </c>
      <c r="F350" s="73" t="s">
        <v>852</v>
      </c>
      <c r="G350" s="73" t="s">
        <v>188</v>
      </c>
    </row>
    <row r="351" spans="1:7" x14ac:dyDescent="0.25">
      <c r="A351" s="71">
        <v>350</v>
      </c>
      <c r="B351" s="72" t="s">
        <v>854</v>
      </c>
      <c r="C351" s="72" t="s">
        <v>855</v>
      </c>
      <c r="D351" s="72" t="s">
        <v>854</v>
      </c>
      <c r="E351" s="72" t="s">
        <v>49</v>
      </c>
      <c r="F351" s="73" t="s">
        <v>854</v>
      </c>
      <c r="G351" s="73" t="s">
        <v>460</v>
      </c>
    </row>
    <row r="352" spans="1:7" x14ac:dyDescent="0.25">
      <c r="A352" s="71">
        <v>351</v>
      </c>
      <c r="B352" s="72" t="s">
        <v>856</v>
      </c>
      <c r="C352" s="72" t="s">
        <v>857</v>
      </c>
      <c r="D352" s="72" t="s">
        <v>856</v>
      </c>
      <c r="E352" s="72" t="s">
        <v>48</v>
      </c>
      <c r="F352" s="73" t="s">
        <v>856</v>
      </c>
      <c r="G352" s="73" t="s">
        <v>402</v>
      </c>
    </row>
    <row r="353" spans="1:7" x14ac:dyDescent="0.25">
      <c r="A353" s="71">
        <v>352</v>
      </c>
      <c r="B353" s="72" t="s">
        <v>858</v>
      </c>
      <c r="C353" s="72" t="s">
        <v>859</v>
      </c>
      <c r="D353" s="72" t="s">
        <v>858</v>
      </c>
      <c r="E353" s="72" t="s">
        <v>35</v>
      </c>
      <c r="F353" s="73" t="s">
        <v>858</v>
      </c>
      <c r="G353" s="73" t="s">
        <v>188</v>
      </c>
    </row>
    <row r="354" spans="1:7" x14ac:dyDescent="0.25">
      <c r="A354" s="71">
        <v>353</v>
      </c>
      <c r="B354" s="72" t="s">
        <v>860</v>
      </c>
      <c r="C354" s="72" t="s">
        <v>861</v>
      </c>
      <c r="D354" s="72" t="s">
        <v>860</v>
      </c>
      <c r="E354" s="72" t="s">
        <v>47</v>
      </c>
      <c r="F354" s="73" t="s">
        <v>860</v>
      </c>
      <c r="G354" s="73" t="s">
        <v>188</v>
      </c>
    </row>
    <row r="355" spans="1:7" x14ac:dyDescent="0.25">
      <c r="A355" s="71">
        <v>354</v>
      </c>
      <c r="B355" s="72" t="s">
        <v>862</v>
      </c>
      <c r="C355" s="72" t="s">
        <v>863</v>
      </c>
      <c r="D355" s="72" t="s">
        <v>862</v>
      </c>
      <c r="E355" s="72" t="s">
        <v>49</v>
      </c>
      <c r="F355" s="73" t="s">
        <v>862</v>
      </c>
      <c r="G355" s="73" t="s">
        <v>460</v>
      </c>
    </row>
    <row r="356" spans="1:7" x14ac:dyDescent="0.25">
      <c r="A356" s="71">
        <v>355</v>
      </c>
      <c r="B356" s="72" t="s">
        <v>864</v>
      </c>
      <c r="C356" s="72" t="s">
        <v>865</v>
      </c>
      <c r="D356" s="72" t="s">
        <v>864</v>
      </c>
      <c r="E356" s="72" t="s">
        <v>35</v>
      </c>
      <c r="F356" s="73" t="s">
        <v>864</v>
      </c>
      <c r="G356" s="73" t="s">
        <v>188</v>
      </c>
    </row>
    <row r="357" spans="1:7" x14ac:dyDescent="0.25">
      <c r="A357" s="71">
        <v>356</v>
      </c>
      <c r="B357" s="72" t="s">
        <v>866</v>
      </c>
      <c r="C357" s="72" t="s">
        <v>867</v>
      </c>
      <c r="D357" s="72" t="s">
        <v>866</v>
      </c>
      <c r="E357" s="72" t="s">
        <v>47</v>
      </c>
      <c r="F357" s="73" t="s">
        <v>866</v>
      </c>
      <c r="G357" s="73" t="s">
        <v>188</v>
      </c>
    </row>
    <row r="358" spans="1:7" x14ac:dyDescent="0.25">
      <c r="A358" s="71">
        <v>357</v>
      </c>
      <c r="B358" s="72" t="s">
        <v>80</v>
      </c>
      <c r="C358" s="72" t="s">
        <v>868</v>
      </c>
      <c r="D358" s="72" t="s">
        <v>80</v>
      </c>
      <c r="E358" s="72" t="s">
        <v>47</v>
      </c>
      <c r="F358" s="73" t="s">
        <v>80</v>
      </c>
      <c r="G358" s="73" t="s">
        <v>188</v>
      </c>
    </row>
    <row r="359" spans="1:7" x14ac:dyDescent="0.25">
      <c r="A359" s="74">
        <v>358</v>
      </c>
      <c r="B359" s="75" t="s">
        <v>869</v>
      </c>
      <c r="C359" s="75" t="s">
        <v>870</v>
      </c>
      <c r="D359" s="75" t="s">
        <v>869</v>
      </c>
      <c r="E359" s="72" t="s">
        <v>48</v>
      </c>
      <c r="F359" s="76" t="s">
        <v>869</v>
      </c>
      <c r="G359" s="76" t="s">
        <v>402</v>
      </c>
    </row>
    <row r="360" spans="1:7" x14ac:dyDescent="0.25">
      <c r="A360" s="71">
        <v>359</v>
      </c>
      <c r="B360" s="72" t="s">
        <v>871</v>
      </c>
      <c r="C360" s="72" t="s">
        <v>459</v>
      </c>
      <c r="D360" s="72" t="s">
        <v>871</v>
      </c>
      <c r="E360" s="72" t="s">
        <v>49</v>
      </c>
      <c r="F360" s="73" t="s">
        <v>871</v>
      </c>
      <c r="G360" s="73" t="s">
        <v>460</v>
      </c>
    </row>
    <row r="361" spans="1:7" x14ac:dyDescent="0.25">
      <c r="A361" s="71">
        <v>360</v>
      </c>
      <c r="B361" s="72" t="s">
        <v>872</v>
      </c>
      <c r="C361" s="72" t="s">
        <v>873</v>
      </c>
      <c r="D361" s="72" t="s">
        <v>872</v>
      </c>
      <c r="E361" s="72" t="s">
        <v>48</v>
      </c>
      <c r="F361" s="72" t="s">
        <v>872</v>
      </c>
      <c r="G361" s="73" t="s">
        <v>402</v>
      </c>
    </row>
    <row r="362" spans="1:7" x14ac:dyDescent="0.25">
      <c r="A362" s="71">
        <v>361</v>
      </c>
      <c r="B362" s="72" t="s">
        <v>874</v>
      </c>
      <c r="C362" s="72" t="s">
        <v>875</v>
      </c>
      <c r="D362" s="72" t="s">
        <v>874</v>
      </c>
      <c r="E362" s="72" t="s">
        <v>46</v>
      </c>
      <c r="F362" s="76" t="s">
        <v>874</v>
      </c>
      <c r="G362" s="73" t="s">
        <v>188</v>
      </c>
    </row>
  </sheetData>
  <pageMargins left="0.7" right="0.7" top="0.75" bottom="0.75" header="0.3" footer="0.3"/>
  <pageSetup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F802-1A8E-4815-B99F-8ED33B7DE3DE}">
  <dimension ref="A1:H16"/>
  <sheetViews>
    <sheetView showGridLines="0" workbookViewId="0">
      <selection activeCell="C3" sqref="C3"/>
    </sheetView>
  </sheetViews>
  <sheetFormatPr defaultRowHeight="15" x14ac:dyDescent="0.25"/>
  <cols>
    <col min="1" max="1" width="22.42578125" bestFit="1" customWidth="1"/>
    <col min="3" max="3" width="15.85546875" bestFit="1" customWidth="1"/>
    <col min="5" max="5" width="25" customWidth="1"/>
    <col min="7" max="7" width="20.140625" bestFit="1" customWidth="1"/>
    <col min="8" max="8" width="23.85546875" bestFit="1" customWidth="1"/>
  </cols>
  <sheetData>
    <row r="1" spans="1:8" ht="15.75" x14ac:dyDescent="0.25">
      <c r="A1" s="28" t="s">
        <v>23</v>
      </c>
      <c r="B1" s="29"/>
      <c r="C1" s="30" t="s">
        <v>24</v>
      </c>
      <c r="D1" s="29"/>
      <c r="E1" s="31" t="s">
        <v>25</v>
      </c>
      <c r="F1" s="29"/>
      <c r="G1" s="32" t="s">
        <v>26</v>
      </c>
      <c r="H1" s="33" t="s">
        <v>27</v>
      </c>
    </row>
    <row r="2" spans="1:8" ht="15.75" x14ac:dyDescent="0.25">
      <c r="A2" s="34" t="s">
        <v>20</v>
      </c>
      <c r="B2" s="29"/>
      <c r="C2" s="35" t="s">
        <v>28</v>
      </c>
      <c r="D2" s="29"/>
      <c r="E2" s="36" t="s">
        <v>29</v>
      </c>
      <c r="F2" s="29"/>
      <c r="G2" s="37" t="s">
        <v>30</v>
      </c>
      <c r="H2" s="38">
        <v>12</v>
      </c>
    </row>
    <row r="3" spans="1:8" ht="15.75" x14ac:dyDescent="0.25">
      <c r="A3" s="34" t="s">
        <v>19</v>
      </c>
      <c r="B3" s="29"/>
      <c r="C3" s="35" t="s">
        <v>31</v>
      </c>
      <c r="D3" s="29"/>
      <c r="E3" s="36" t="s">
        <v>32</v>
      </c>
      <c r="F3" s="29"/>
      <c r="G3" s="37" t="s">
        <v>33</v>
      </c>
      <c r="H3" s="38">
        <v>15</v>
      </c>
    </row>
    <row r="4" spans="1:8" ht="15.75" x14ac:dyDescent="0.25">
      <c r="A4" s="34" t="s">
        <v>21</v>
      </c>
      <c r="B4" s="29"/>
      <c r="C4" s="29"/>
      <c r="D4" s="29"/>
      <c r="E4" s="36" t="s">
        <v>34</v>
      </c>
      <c r="F4" s="29"/>
      <c r="G4" s="37" t="s">
        <v>35</v>
      </c>
      <c r="H4" s="38">
        <v>22</v>
      </c>
    </row>
    <row r="5" spans="1:8" ht="15.75" x14ac:dyDescent="0.25">
      <c r="A5" s="34" t="s">
        <v>36</v>
      </c>
      <c r="B5" s="29"/>
      <c r="C5" s="29"/>
      <c r="D5" s="29"/>
      <c r="E5" s="29"/>
      <c r="F5" s="29"/>
      <c r="G5" s="37" t="s">
        <v>37</v>
      </c>
      <c r="H5" s="38">
        <v>18</v>
      </c>
    </row>
    <row r="6" spans="1:8" ht="15.75" x14ac:dyDescent="0.25">
      <c r="A6" s="39" t="s">
        <v>38</v>
      </c>
      <c r="B6" s="29"/>
      <c r="C6" s="29"/>
      <c r="D6" s="29"/>
      <c r="E6" s="29"/>
      <c r="F6" s="29"/>
      <c r="G6" s="37" t="s">
        <v>39</v>
      </c>
      <c r="H6" s="38">
        <v>20</v>
      </c>
    </row>
    <row r="7" spans="1:8" ht="15.75" x14ac:dyDescent="0.25">
      <c r="A7" s="39" t="s">
        <v>40</v>
      </c>
      <c r="B7" s="29"/>
      <c r="C7" s="29"/>
      <c r="D7" s="29"/>
      <c r="E7" s="29"/>
      <c r="F7" s="29"/>
      <c r="G7" s="37" t="s">
        <v>41</v>
      </c>
      <c r="H7" s="38">
        <v>15</v>
      </c>
    </row>
    <row r="8" spans="1:8" x14ac:dyDescent="0.25">
      <c r="A8" s="29"/>
      <c r="B8" s="29"/>
      <c r="C8" s="29"/>
      <c r="D8" s="29"/>
      <c r="E8" s="29"/>
      <c r="F8" s="29"/>
      <c r="G8" s="37" t="s">
        <v>42</v>
      </c>
      <c r="H8" s="38">
        <v>18</v>
      </c>
    </row>
    <row r="9" spans="1:8" x14ac:dyDescent="0.25">
      <c r="A9" s="29"/>
      <c r="B9" s="29"/>
      <c r="C9" s="29"/>
      <c r="D9" s="29"/>
      <c r="E9" s="29"/>
      <c r="F9" s="29"/>
      <c r="G9" s="37" t="s">
        <v>43</v>
      </c>
      <c r="H9" s="38">
        <v>18</v>
      </c>
    </row>
    <row r="10" spans="1:8" x14ac:dyDescent="0.25">
      <c r="A10" s="29"/>
      <c r="B10" s="29"/>
      <c r="C10" s="29"/>
      <c r="D10" s="29"/>
      <c r="E10" s="29"/>
      <c r="F10" s="29"/>
      <c r="G10" s="37" t="s">
        <v>44</v>
      </c>
      <c r="H10" s="38">
        <v>20</v>
      </c>
    </row>
    <row r="11" spans="1:8" x14ac:dyDescent="0.25">
      <c r="A11" s="29"/>
      <c r="B11" s="29"/>
      <c r="C11" s="29"/>
      <c r="D11" s="29"/>
      <c r="E11" s="29"/>
      <c r="F11" s="29"/>
      <c r="G11" s="37" t="s">
        <v>45</v>
      </c>
      <c r="H11" s="38">
        <v>20</v>
      </c>
    </row>
    <row r="12" spans="1:8" x14ac:dyDescent="0.25">
      <c r="A12" s="29"/>
      <c r="B12" s="29"/>
      <c r="C12" s="29"/>
      <c r="D12" s="29"/>
      <c r="E12" s="29"/>
      <c r="F12" s="29"/>
      <c r="G12" s="37" t="s">
        <v>46</v>
      </c>
      <c r="H12" s="38">
        <v>18</v>
      </c>
    </row>
    <row r="13" spans="1:8" x14ac:dyDescent="0.25">
      <c r="A13" s="29"/>
      <c r="B13" s="29"/>
      <c r="C13" s="29"/>
      <c r="D13" s="29"/>
      <c r="E13" s="29"/>
      <c r="F13" s="29"/>
      <c r="G13" s="37" t="s">
        <v>47</v>
      </c>
      <c r="H13" s="38">
        <v>15</v>
      </c>
    </row>
    <row r="14" spans="1:8" x14ac:dyDescent="0.25">
      <c r="A14" s="29"/>
      <c r="B14" s="29"/>
      <c r="C14" s="29"/>
      <c r="D14" s="29"/>
      <c r="E14" s="29"/>
      <c r="F14" s="29"/>
      <c r="G14" s="37" t="s">
        <v>48</v>
      </c>
      <c r="H14" s="38">
        <v>15</v>
      </c>
    </row>
    <row r="15" spans="1:8" x14ac:dyDescent="0.25">
      <c r="A15" s="29"/>
      <c r="B15" s="29"/>
      <c r="C15" s="29"/>
      <c r="D15" s="29"/>
      <c r="E15" s="29"/>
      <c r="F15" s="29"/>
      <c r="G15" s="40" t="s">
        <v>49</v>
      </c>
      <c r="H15" s="41">
        <v>15</v>
      </c>
    </row>
    <row r="16" spans="1:8" x14ac:dyDescent="0.25">
      <c r="A16" s="29"/>
      <c r="B16" s="29"/>
      <c r="C16" s="29"/>
      <c r="D16" s="29"/>
      <c r="E16" s="29"/>
      <c r="F16" s="29"/>
      <c r="G16" s="29"/>
      <c r="H16" s="29"/>
    </row>
  </sheetData>
  <conditionalFormatting sqref="G2:G15">
    <cfRule type="duplicateValues" dxfId="3" priority="1"/>
  </conditionalFormatting>
  <pageMargins left="0.7" right="0.7" top="0.75" bottom="0.75" header="0.3" footer="0.3"/>
  <pageSetup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A3F0-8ADB-4FF7-B3F1-B71E48ACA261}">
  <dimension ref="A1:Z57"/>
  <sheetViews>
    <sheetView zoomScaleNormal="100" zoomScaleSheetLayoutView="90" workbookViewId="0">
      <pane xSplit="2" ySplit="3" topLeftCell="C41" activePane="bottomRight" state="frozen"/>
      <selection activeCell="Z22" sqref="Z22"/>
      <selection pane="topRight" activeCell="Z22" sqref="Z22"/>
      <selection pane="bottomLeft" activeCell="Z22" sqref="Z22"/>
      <selection pane="bottomRight" activeCell="E42" sqref="E42"/>
    </sheetView>
  </sheetViews>
  <sheetFormatPr defaultRowHeight="15" x14ac:dyDescent="0.25"/>
  <cols>
    <col min="1" max="1" width="10.5703125" bestFit="1" customWidth="1"/>
    <col min="2" max="2" width="11.85546875" customWidth="1"/>
    <col min="3" max="3" width="18.42578125" bestFit="1" customWidth="1"/>
    <col min="4" max="4" width="14.85546875" bestFit="1" customWidth="1"/>
    <col min="5" max="5" width="19.5703125" bestFit="1" customWidth="1"/>
    <col min="6" max="6" width="13.5703125" bestFit="1" customWidth="1"/>
    <col min="7" max="8" width="18.28515625" bestFit="1" customWidth="1"/>
    <col min="9" max="9" width="14.85546875" bestFit="1" customWidth="1"/>
    <col min="10" max="10" width="13.5703125" bestFit="1" customWidth="1"/>
    <col min="11" max="11" width="16.85546875" bestFit="1" customWidth="1"/>
    <col min="12" max="12" width="13.85546875" hidden="1" customWidth="1"/>
    <col min="13" max="13" width="13.5703125" bestFit="1" customWidth="1"/>
    <col min="14" max="14" width="10.140625" bestFit="1" customWidth="1"/>
    <col min="15" max="15" width="13.5703125" bestFit="1" customWidth="1"/>
    <col min="16" max="16" width="18.28515625" bestFit="1" customWidth="1"/>
    <col min="17" max="17" width="14.85546875" bestFit="1" customWidth="1"/>
    <col min="18" max="18" width="12.140625" bestFit="1" customWidth="1"/>
    <col min="19" max="20" width="14.85546875" bestFit="1" customWidth="1"/>
    <col min="21" max="23" width="18.28515625" bestFit="1" customWidth="1"/>
    <col min="24" max="24" width="13.5703125" bestFit="1" customWidth="1"/>
    <col min="25" max="25" width="16.85546875" style="83" bestFit="1" customWidth="1"/>
    <col min="26" max="26" width="11.140625" bestFit="1" customWidth="1"/>
  </cols>
  <sheetData>
    <row r="1" spans="1:26" x14ac:dyDescent="0.25">
      <c r="Q1" s="48"/>
    </row>
    <row r="2" spans="1:26" ht="14.45" customHeight="1" x14ac:dyDescent="0.25">
      <c r="A2" t="s">
        <v>58</v>
      </c>
      <c r="M2" s="120" t="s">
        <v>20</v>
      </c>
      <c r="N2" s="121"/>
      <c r="O2" s="121"/>
      <c r="P2" s="122"/>
      <c r="Q2" s="120" t="s">
        <v>67</v>
      </c>
      <c r="R2" s="121"/>
      <c r="S2" s="121"/>
      <c r="T2" s="118" t="s">
        <v>13</v>
      </c>
      <c r="U2" s="53"/>
      <c r="V2" s="53"/>
      <c r="W2" s="118" t="s">
        <v>15</v>
      </c>
      <c r="X2" s="118" t="s">
        <v>18</v>
      </c>
      <c r="Y2" s="116" t="s">
        <v>12</v>
      </c>
    </row>
    <row r="3" spans="1:26" ht="60" x14ac:dyDescent="0.25">
      <c r="A3" s="1" t="s">
        <v>57</v>
      </c>
      <c r="B3" s="2" t="s">
        <v>0</v>
      </c>
      <c r="C3" s="2" t="s">
        <v>876</v>
      </c>
      <c r="D3" s="2" t="s">
        <v>3</v>
      </c>
      <c r="E3" s="2" t="s">
        <v>51</v>
      </c>
      <c r="F3" s="2" t="s">
        <v>6</v>
      </c>
      <c r="G3" s="16" t="s">
        <v>8</v>
      </c>
      <c r="H3" s="2" t="s">
        <v>14</v>
      </c>
      <c r="I3" s="2" t="s">
        <v>163</v>
      </c>
      <c r="J3" s="4" t="s">
        <v>17</v>
      </c>
      <c r="K3" s="3" t="s">
        <v>11</v>
      </c>
      <c r="M3" s="2" t="s">
        <v>65</v>
      </c>
      <c r="N3" s="2" t="s">
        <v>62</v>
      </c>
      <c r="O3" s="2" t="s">
        <v>5</v>
      </c>
      <c r="P3" s="44" t="s">
        <v>63</v>
      </c>
      <c r="Q3" s="16" t="s">
        <v>64</v>
      </c>
      <c r="R3" s="16" t="s">
        <v>62</v>
      </c>
      <c r="S3" s="45" t="s">
        <v>9</v>
      </c>
      <c r="T3" s="119"/>
      <c r="U3" s="53"/>
      <c r="V3" s="53"/>
      <c r="W3" s="119"/>
      <c r="X3" s="119"/>
      <c r="Y3" s="117"/>
      <c r="Z3" s="47"/>
    </row>
    <row r="4" spans="1:26" x14ac:dyDescent="0.25">
      <c r="A4" s="5">
        <v>1</v>
      </c>
      <c r="B4" s="6" t="str">
        <f>SHL!B11</f>
        <v>SHL</v>
      </c>
      <c r="C4" s="6" t="str">
        <f>VLOOKUP(Table242830891013141516232425323334353637[[#This Row],[SYMBOL]],Table2[[SYMBOL2]:[Sector ]],2,)</f>
        <v>Hotels And Tourism</v>
      </c>
      <c r="D4" s="9">
        <f ca="1">SHL!F11</f>
        <v>500</v>
      </c>
      <c r="E4" s="9">
        <f ca="1">SHL!H11</f>
        <v>282500</v>
      </c>
      <c r="F4" s="9">
        <f ca="1">SHL!I11</f>
        <v>0</v>
      </c>
      <c r="G4" s="9">
        <f ca="1">SHL!K11</f>
        <v>0</v>
      </c>
      <c r="H4" s="9">
        <f ca="1">SHL!M11</f>
        <v>282500</v>
      </c>
      <c r="I4" s="9">
        <f ca="1">SHL!N11</f>
        <v>500</v>
      </c>
      <c r="J4" s="42">
        <f ca="1">SHL!O11</f>
        <v>565</v>
      </c>
      <c r="K4" s="10">
        <f ca="1">SHL!P11</f>
        <v>0</v>
      </c>
      <c r="M4" s="20">
        <f>SHL!R11</f>
        <v>974.63</v>
      </c>
      <c r="N4" s="20">
        <f>SHL!S11</f>
        <v>25</v>
      </c>
      <c r="O4" s="20">
        <f>SHL!T11</f>
        <v>999.63</v>
      </c>
      <c r="P4" s="20">
        <f>SHL!U11</f>
        <v>283499.63</v>
      </c>
      <c r="Q4" s="20">
        <f>SHL!V11</f>
        <v>0</v>
      </c>
      <c r="R4" s="20">
        <f>SHL!W11</f>
        <v>0</v>
      </c>
      <c r="S4" s="20">
        <f>SHL!X11</f>
        <v>0</v>
      </c>
      <c r="T4" s="20">
        <f>SHL!Y11</f>
        <v>0</v>
      </c>
      <c r="U4" s="20">
        <f>SHL!Z11</f>
        <v>0</v>
      </c>
      <c r="V4" s="20">
        <f>SHL!AA11</f>
        <v>0</v>
      </c>
      <c r="W4" s="20">
        <f>SHL!AB11</f>
        <v>283499.63</v>
      </c>
      <c r="X4" s="20">
        <f ca="1">SHL!AC11</f>
        <v>566.99926000000005</v>
      </c>
      <c r="Y4" s="58">
        <f>SHL!AD11</f>
        <v>0</v>
      </c>
      <c r="Z4" s="62"/>
    </row>
    <row r="5" spans="1:26" x14ac:dyDescent="0.25">
      <c r="A5" s="5">
        <v>2</v>
      </c>
      <c r="B5" s="84" t="s">
        <v>82</v>
      </c>
      <c r="C5" s="6" t="str">
        <f>VLOOKUP(Table242830891013141516232425323334353637[[#This Row],[SYMBOL]],Table2[[SYMBOL2]:[Sector ]],2,)</f>
        <v>Commercial Banks</v>
      </c>
      <c r="D5" s="9">
        <f ca="1">SBI!F17</f>
        <v>10924</v>
      </c>
      <c r="E5" s="9">
        <f ca="1">SBI!H17</f>
        <v>4806341.5200000005</v>
      </c>
      <c r="F5" s="9">
        <f ca="1">SBI!I17</f>
        <v>3444</v>
      </c>
      <c r="G5" s="9">
        <f>SBI!K17</f>
        <v>1537024</v>
      </c>
      <c r="H5" s="9">
        <f ca="1">SBI!M17</f>
        <v>3291050.4000000004</v>
      </c>
      <c r="I5" s="9">
        <f ca="1">SBI!N17</f>
        <v>7480</v>
      </c>
      <c r="J5" s="9">
        <f ca="1">SBI!O17</f>
        <v>439.98000000000008</v>
      </c>
      <c r="K5" s="51">
        <f ca="1">SBI!P17</f>
        <v>21732.880000000005</v>
      </c>
      <c r="M5" s="20">
        <f>SBI!R17</f>
        <v>0</v>
      </c>
      <c r="N5" s="20">
        <f>SBI!S17</f>
        <v>0</v>
      </c>
      <c r="O5" s="20">
        <f>SBI!T17</f>
        <v>0</v>
      </c>
      <c r="P5" s="20">
        <f>SBI!U17</f>
        <v>4812786.68</v>
      </c>
      <c r="Q5" s="20">
        <f>SBI!V17</f>
        <v>5125.13</v>
      </c>
      <c r="R5" s="20">
        <f>SBI!W17</f>
        <v>75</v>
      </c>
      <c r="S5" s="20">
        <f>SBI!X17</f>
        <v>5200.13</v>
      </c>
      <c r="T5" s="20">
        <f>SBI!Y17</f>
        <v>1451.8000000000002</v>
      </c>
      <c r="U5" s="20">
        <f ca="1">SBI!Z17</f>
        <v>1530372.07</v>
      </c>
      <c r="V5" s="20">
        <f>SBI!AA17</f>
        <v>1517323.08</v>
      </c>
      <c r="W5" s="20">
        <f>SBI!AB17</f>
        <v>3295463.5999999996</v>
      </c>
      <c r="X5" s="65">
        <f ca="1">SBI!AC17</f>
        <v>440.56999999999994</v>
      </c>
      <c r="Y5" s="58">
        <f ca="1">SBI!AD17</f>
        <v>14500.790000000179</v>
      </c>
      <c r="Z5" s="62"/>
    </row>
    <row r="6" spans="1:26" x14ac:dyDescent="0.25">
      <c r="A6" s="5">
        <v>3</v>
      </c>
      <c r="B6" s="84" t="s">
        <v>173</v>
      </c>
      <c r="C6" s="6" t="str">
        <f>VLOOKUP(Table242830891013141516232425323334353637[[#This Row],[SYMBOL]],Table2[[SYMBOL2]:[Sector ]],2,)</f>
        <v>Commercial Banks</v>
      </c>
      <c r="D6" s="9">
        <f ca="1">SCB!F17</f>
        <v>1177</v>
      </c>
      <c r="E6" s="9">
        <f ca="1">SCB!H17</f>
        <v>772229.70000000007</v>
      </c>
      <c r="F6" s="9">
        <f ca="1">SCB!I17</f>
        <v>1177</v>
      </c>
      <c r="G6" s="9">
        <f>SCB!K17</f>
        <v>787090</v>
      </c>
      <c r="H6" s="9">
        <f ca="1">SCB!M17</f>
        <v>0</v>
      </c>
      <c r="I6" s="9">
        <f ca="1">SCB!N17</f>
        <v>0</v>
      </c>
      <c r="J6" s="9">
        <f ca="1">SCB!O17</f>
        <v>0</v>
      </c>
      <c r="K6" s="51">
        <f ca="1">SCB!P17</f>
        <v>14860.29999999993</v>
      </c>
      <c r="M6" s="20">
        <f>SCB!R17</f>
        <v>0</v>
      </c>
      <c r="N6" s="20">
        <f>SCB!S17</f>
        <v>0</v>
      </c>
      <c r="O6" s="20">
        <f>SCB!T17</f>
        <v>0</v>
      </c>
      <c r="P6" s="20">
        <f>SCB!U17</f>
        <v>787401.23</v>
      </c>
      <c r="Q6" s="20">
        <f>SCB!V17</f>
        <v>2724.6800000000003</v>
      </c>
      <c r="R6" s="20">
        <f>SCB!W17</f>
        <v>25</v>
      </c>
      <c r="S6" s="20">
        <f>SCB!X17</f>
        <v>2749.6800000000003</v>
      </c>
      <c r="T6" s="20">
        <f>SCB!Y17</f>
        <v>0</v>
      </c>
      <c r="U6" s="20">
        <f ca="1">SCB!Z17</f>
        <v>784340.32</v>
      </c>
      <c r="V6" s="20">
        <f>SCB!AA17</f>
        <v>787401.23</v>
      </c>
      <c r="W6" s="20">
        <f>SCB!AB17</f>
        <v>0</v>
      </c>
      <c r="X6" s="65">
        <f ca="1">SCB!AC17</f>
        <v>0</v>
      </c>
      <c r="Y6" s="58">
        <f ca="1">SCB!AD17</f>
        <v>-3060.9100000000326</v>
      </c>
      <c r="Z6" s="62"/>
    </row>
    <row r="7" spans="1:26" x14ac:dyDescent="0.25">
      <c r="A7" s="5">
        <v>4</v>
      </c>
      <c r="B7" s="84" t="s">
        <v>85</v>
      </c>
      <c r="C7" s="6" t="str">
        <f>VLOOKUP(Table242830891013141516232425323334353637[[#This Row],[SYMBOL]],Table2[[SYMBOL2]:[Sector ]],2,)</f>
        <v>Finance</v>
      </c>
      <c r="D7" s="9">
        <f ca="1">ICFC!F17</f>
        <v>7777</v>
      </c>
      <c r="E7" s="9">
        <f ca="1">ICFC!H17</f>
        <v>4985618.8900000006</v>
      </c>
      <c r="F7" s="9">
        <f ca="1">ICFC!I17</f>
        <v>7777</v>
      </c>
      <c r="G7" s="9">
        <f>ICFC!K17</f>
        <v>5303427.4000000004</v>
      </c>
      <c r="H7" s="9">
        <f ca="1">ICFC!M17</f>
        <v>0</v>
      </c>
      <c r="I7" s="9">
        <f ca="1">ICFC!N17</f>
        <v>0</v>
      </c>
      <c r="J7" s="9">
        <f ca="1">ICFC!O17</f>
        <v>0</v>
      </c>
      <c r="K7" s="51">
        <f ca="1">ICFC!P17</f>
        <v>317808.50999999931</v>
      </c>
      <c r="M7" s="20">
        <f>ICFC!R17</f>
        <v>455.46000000000004</v>
      </c>
      <c r="N7" s="20">
        <f>ICFC!S17</f>
        <v>25</v>
      </c>
      <c r="O7" s="20">
        <f>ICFC!T17</f>
        <v>480.46000000000004</v>
      </c>
      <c r="P7" s="20">
        <f>ICFC!U17</f>
        <v>5227310.9834939763</v>
      </c>
      <c r="Q7" s="20">
        <f>ICFC!V17</f>
        <v>17923.25</v>
      </c>
      <c r="R7" s="20">
        <f>ICFC!W17</f>
        <v>50</v>
      </c>
      <c r="S7" s="20">
        <f>ICFC!X17</f>
        <v>17973.25</v>
      </c>
      <c r="T7" s="20">
        <f>ICFC!Y17</f>
        <v>5814.37</v>
      </c>
      <c r="U7" s="20">
        <f>ICFC!Z17</f>
        <v>5279639.7799999993</v>
      </c>
      <c r="V7" s="20">
        <f>ICFC!AA17</f>
        <v>5227310.9834939763</v>
      </c>
      <c r="W7" s="20">
        <f>ICFC!AB17</f>
        <v>0</v>
      </c>
      <c r="X7" s="65">
        <f ca="1">ICFC!AC17</f>
        <v>0</v>
      </c>
      <c r="Y7" s="58">
        <f ca="1">ICFC!AD17</f>
        <v>58143.16650602327</v>
      </c>
      <c r="Z7" s="62"/>
    </row>
    <row r="8" spans="1:26" x14ac:dyDescent="0.25">
      <c r="A8" s="5">
        <v>5</v>
      </c>
      <c r="B8" s="84" t="s">
        <v>104</v>
      </c>
      <c r="C8" s="6" t="str">
        <f>VLOOKUP(Table242830891013141516232425323334353637[[#This Row],[SYMBOL]],Table2[[SYMBOL2]:[Sector ]],2,)</f>
        <v>Finance</v>
      </c>
      <c r="D8" s="9">
        <f ca="1">MFIL!F16</f>
        <v>3250</v>
      </c>
      <c r="E8" s="9">
        <f ca="1">MFIL!H16</f>
        <v>2025627.5</v>
      </c>
      <c r="F8" s="9">
        <f ca="1">MFIL!I16</f>
        <v>3250</v>
      </c>
      <c r="G8" s="9">
        <f ca="1">MFIL!K16</f>
        <v>2162074</v>
      </c>
      <c r="H8" s="9">
        <f ca="1">MFIL!M16</f>
        <v>0</v>
      </c>
      <c r="I8" s="9">
        <f ca="1">MFIL!N16</f>
        <v>0</v>
      </c>
      <c r="J8" s="9">
        <f ca="1">MFIL!O16</f>
        <v>0</v>
      </c>
      <c r="K8" s="51">
        <f ca="1">MFIL!P16</f>
        <v>136446.5</v>
      </c>
      <c r="M8" s="20">
        <f>MFIL!R16</f>
        <v>0</v>
      </c>
      <c r="N8" s="20">
        <f>MFIL!S16</f>
        <v>0</v>
      </c>
      <c r="O8" s="20">
        <f>MFIL!T16</f>
        <v>0</v>
      </c>
      <c r="P8" s="20">
        <f>MFIL!U16</f>
        <v>2109900</v>
      </c>
      <c r="Q8" s="20">
        <f>MFIL!V16</f>
        <v>7082.0700000000006</v>
      </c>
      <c r="R8" s="20">
        <f>MFIL!W16</f>
        <v>50</v>
      </c>
      <c r="S8" s="20">
        <f>MFIL!X16</f>
        <v>7132.0700000000006</v>
      </c>
      <c r="T8" s="20">
        <f>MFIL!Y16</f>
        <v>4503.2199999999993</v>
      </c>
      <c r="U8" s="20">
        <f>MFIL!Z16</f>
        <v>2150438.71</v>
      </c>
      <c r="V8" s="20">
        <f>MFIL!AA16</f>
        <v>2109900</v>
      </c>
      <c r="W8" s="20">
        <f>MFIL!AB16</f>
        <v>0</v>
      </c>
      <c r="X8" s="65">
        <f ca="1">MFIL!AC16</f>
        <v>0</v>
      </c>
      <c r="Y8" s="58">
        <f>MFIL!AD16</f>
        <v>45041.930000000008</v>
      </c>
      <c r="Z8" s="62"/>
    </row>
    <row r="9" spans="1:26" x14ac:dyDescent="0.25">
      <c r="A9" s="5">
        <v>6</v>
      </c>
      <c r="B9" s="6" t="s">
        <v>158</v>
      </c>
      <c r="C9" s="6" t="str">
        <f>VLOOKUP(Table242830891013141516232425323334353637[[#This Row],[SYMBOL]],Table2[[SYMBOL2]:[Sector ]],2,)</f>
        <v>Development Banks</v>
      </c>
      <c r="D9" s="9">
        <f ca="1">MNBBL!F12</f>
        <v>1000</v>
      </c>
      <c r="E9" s="9">
        <f ca="1">MNBBL!H12</f>
        <v>445000</v>
      </c>
      <c r="F9" s="9">
        <f ca="1">MNBBL!I12</f>
        <v>0</v>
      </c>
      <c r="G9" s="9">
        <f ca="1">MNBBL!K12</f>
        <v>0</v>
      </c>
      <c r="H9" s="9">
        <f ca="1">MNBBL!M12</f>
        <v>445000</v>
      </c>
      <c r="I9" s="9">
        <f ca="1">MNBBL!N12</f>
        <v>1000</v>
      </c>
      <c r="J9" s="42">
        <f ca="1">MNBBL!O12</f>
        <v>445</v>
      </c>
      <c r="K9" s="10">
        <f ca="1">MNBBL!P12</f>
        <v>0</v>
      </c>
      <c r="M9" s="20">
        <f>MNBBL!R12</f>
        <v>3070.5</v>
      </c>
      <c r="N9" s="20">
        <f>MNBBL!S12</f>
        <v>50</v>
      </c>
      <c r="O9" s="20">
        <f>MNBBL!T12</f>
        <v>3120.5</v>
      </c>
      <c r="P9" s="20">
        <f>MNBBL!U12</f>
        <v>893120.5</v>
      </c>
      <c r="Q9" s="20">
        <f>MNBBL!V12</f>
        <v>0</v>
      </c>
      <c r="R9" s="20">
        <f>MNBBL!W12</f>
        <v>0</v>
      </c>
      <c r="S9" s="20">
        <f>MNBBL!X12</f>
        <v>0</v>
      </c>
      <c r="T9" s="20">
        <f>MNBBL!Y12</f>
        <v>0</v>
      </c>
      <c r="U9" s="20">
        <f>MNBBL!Z12</f>
        <v>0</v>
      </c>
      <c r="V9" s="20">
        <f>MNBBL!AA12</f>
        <v>0</v>
      </c>
      <c r="W9" s="20">
        <f>MNBBL!AB12</f>
        <v>893120.5</v>
      </c>
      <c r="X9" s="65">
        <f ca="1">MNBBL!AC12</f>
        <v>893.12049999999999</v>
      </c>
      <c r="Y9" s="58">
        <f>MNBBL!AD12</f>
        <v>0</v>
      </c>
      <c r="Z9" s="62"/>
    </row>
    <row r="10" spans="1:26" x14ac:dyDescent="0.25">
      <c r="A10" s="5">
        <v>7</v>
      </c>
      <c r="B10" s="6" t="s">
        <v>156</v>
      </c>
      <c r="C10" s="6" t="str">
        <f>VLOOKUP(Table242830891013141516232425323334353637[[#This Row],[SYMBOL]],Table2[[SYMBOL2]:[Sector ]],2,)</f>
        <v>Development Banks</v>
      </c>
      <c r="D10" s="9">
        <f ca="1">KSBBL!F16</f>
        <v>1000</v>
      </c>
      <c r="E10" s="9">
        <f ca="1">KSBBL!H16</f>
        <v>532000</v>
      </c>
      <c r="F10" s="9">
        <v>0</v>
      </c>
      <c r="G10" s="9">
        <v>0</v>
      </c>
      <c r="H10" s="9">
        <f ca="1">KSBBL!M16</f>
        <v>532000</v>
      </c>
      <c r="I10" s="9">
        <f ca="1">KSBBL!N16</f>
        <v>1000</v>
      </c>
      <c r="J10" s="9">
        <f ca="1">KSBBL!O16</f>
        <v>532</v>
      </c>
      <c r="K10" s="10">
        <f ca="1">KSBBL!P16</f>
        <v>0</v>
      </c>
      <c r="M10" s="20">
        <f>KSBBL!R16</f>
        <v>1835.3999999999999</v>
      </c>
      <c r="N10" s="20">
        <f>KSBBL!S16</f>
        <v>25</v>
      </c>
      <c r="O10" s="20">
        <f>KSBBL!T16</f>
        <v>1860.3999999999999</v>
      </c>
      <c r="P10" s="20">
        <f>KSBBL!U16</f>
        <v>533860.4</v>
      </c>
      <c r="Q10" s="20">
        <f>KSBBL!V16</f>
        <v>0</v>
      </c>
      <c r="R10" s="20">
        <f>KSBBL!W16</f>
        <v>0</v>
      </c>
      <c r="S10" s="20">
        <f>KSBBL!X16</f>
        <v>0</v>
      </c>
      <c r="T10" s="20">
        <f>KSBBL!Y16</f>
        <v>0</v>
      </c>
      <c r="U10" s="20">
        <f ca="1">KSBBL!Z16</f>
        <v>0</v>
      </c>
      <c r="V10" s="20">
        <f>KSBBL!AA16</f>
        <v>0</v>
      </c>
      <c r="W10" s="20">
        <f>KSBBL!AB16</f>
        <v>533860.4</v>
      </c>
      <c r="X10" s="65">
        <f ca="1">KSBBL!AC16</f>
        <v>533.86040000000003</v>
      </c>
      <c r="Y10" s="58">
        <f ca="1">KSBBL!AD16</f>
        <v>0</v>
      </c>
      <c r="Z10" s="62"/>
    </row>
    <row r="11" spans="1:26" x14ac:dyDescent="0.25">
      <c r="A11" s="5">
        <v>8</v>
      </c>
      <c r="B11" s="6" t="s">
        <v>93</v>
      </c>
      <c r="C11" s="6" t="str">
        <f>VLOOKUP(Table242830891013141516232425323334353637[[#This Row],[SYMBOL]],Table2[[SYMBOL2]:[Sector ]],2,)</f>
        <v>Development Banks</v>
      </c>
      <c r="D11" s="9">
        <f ca="1">LBBL!F10</f>
        <v>2500</v>
      </c>
      <c r="E11" s="9">
        <f ca="1">LBBL!H10</f>
        <v>1275000</v>
      </c>
      <c r="F11" s="9">
        <f ca="1">LBBL!I10</f>
        <v>2500</v>
      </c>
      <c r="G11" s="9">
        <f>LBBL!K10</f>
        <v>1373544.9</v>
      </c>
      <c r="H11" s="9">
        <f>LBBL!M10</f>
        <v>0</v>
      </c>
      <c r="I11" s="9">
        <f ca="1">LBBL!N10</f>
        <v>0</v>
      </c>
      <c r="J11" s="9">
        <f>LBBL!O10</f>
        <v>0</v>
      </c>
      <c r="K11" s="51">
        <f ca="1">LBBL!P10</f>
        <v>98544.899999999907</v>
      </c>
      <c r="M11" s="20">
        <f>LBBL!R10</f>
        <v>4296.75</v>
      </c>
      <c r="N11" s="20">
        <f>LBBL!S10</f>
        <v>25</v>
      </c>
      <c r="O11" s="20">
        <f>LBBL!T10</f>
        <v>4321.75</v>
      </c>
      <c r="P11" s="20">
        <f>LBBL!U10</f>
        <v>1279321.75</v>
      </c>
      <c r="Q11" s="20">
        <f>LBBL!V10</f>
        <v>4747.0999999999995</v>
      </c>
      <c r="R11" s="20">
        <f>LBBL!W10</f>
        <v>25</v>
      </c>
      <c r="S11" s="20">
        <f>LBBL!X10</f>
        <v>4772.0999999999995</v>
      </c>
      <c r="T11" s="20">
        <f>LBBL!Y10</f>
        <v>8945.0499999999993</v>
      </c>
      <c r="U11" s="20">
        <f>LBBL!Z10</f>
        <v>1359827.7499999998</v>
      </c>
      <c r="V11" s="20">
        <f>LBBL!AA10</f>
        <v>1279321.75</v>
      </c>
      <c r="W11" s="20">
        <f>LBBL!AB10</f>
        <v>0</v>
      </c>
      <c r="X11" s="65">
        <f ca="1">LBBL!AC10</f>
        <v>0</v>
      </c>
      <c r="Y11" s="58">
        <f>LBBL!AD10</f>
        <v>89451.04999999977</v>
      </c>
      <c r="Z11" s="62"/>
    </row>
    <row r="12" spans="1:26" x14ac:dyDescent="0.25">
      <c r="A12" s="5">
        <v>9</v>
      </c>
      <c r="B12" s="84" t="s">
        <v>142</v>
      </c>
      <c r="C12" s="6" t="str">
        <f>VLOOKUP(Table242830891013141516232425323334353637[[#This Row],[SYMBOL]],Table2[[SYMBOL2]:[Sector ]],2,)</f>
        <v>Non Life Insurance</v>
      </c>
      <c r="D12" s="9">
        <f ca="1">IGI!F16</f>
        <v>6674</v>
      </c>
      <c r="E12" s="9">
        <f ca="1">IGI!H16</f>
        <v>3743361.2600000002</v>
      </c>
      <c r="F12" s="9">
        <f ca="1">IGI!I16</f>
        <v>0</v>
      </c>
      <c r="G12" s="9">
        <f ca="1">IGI!K16</f>
        <v>0</v>
      </c>
      <c r="H12" s="9">
        <f ca="1">IGI!M16</f>
        <v>3743361.2600000002</v>
      </c>
      <c r="I12" s="9">
        <f ca="1">IGI!N16</f>
        <v>6674</v>
      </c>
      <c r="J12" s="9">
        <f ca="1">IGI!O16</f>
        <v>560.88721306562786</v>
      </c>
      <c r="K12" s="10">
        <f ca="1">IGI!P16</f>
        <v>0</v>
      </c>
      <c r="M12" s="20">
        <f>IGI!R16</f>
        <v>0</v>
      </c>
      <c r="N12" s="20">
        <f>IGI!S16</f>
        <v>0</v>
      </c>
      <c r="O12" s="20">
        <f>IGI!T16</f>
        <v>0</v>
      </c>
      <c r="P12" s="20">
        <f>IGI!U16</f>
        <v>4152188.1130000004</v>
      </c>
      <c r="Q12" s="20">
        <f>IGI!V16</f>
        <v>0</v>
      </c>
      <c r="R12" s="20">
        <f>IGI!W16</f>
        <v>0</v>
      </c>
      <c r="S12" s="20">
        <f>IGI!X16</f>
        <v>0</v>
      </c>
      <c r="T12" s="20">
        <f>IGI!Y16</f>
        <v>0</v>
      </c>
      <c r="U12" s="20">
        <f ca="1">IGI!Z16</f>
        <v>0</v>
      </c>
      <c r="V12" s="20">
        <f>IGI!AA16</f>
        <v>0</v>
      </c>
      <c r="W12" s="20">
        <f>IGI!AB16</f>
        <v>4152188.1130000004</v>
      </c>
      <c r="X12" s="65">
        <f ca="1">IGI!AC16</f>
        <v>622.14385870542412</v>
      </c>
      <c r="Y12" s="58">
        <f ca="1">IGI!AD16</f>
        <v>0</v>
      </c>
      <c r="Z12" s="62"/>
    </row>
    <row r="13" spans="1:26" x14ac:dyDescent="0.25">
      <c r="A13" s="5">
        <v>10</v>
      </c>
      <c r="B13" s="6" t="s">
        <v>128</v>
      </c>
      <c r="C13" s="6" t="str">
        <f>VLOOKUP(Table242830891013141516232425323334353637[[#This Row],[SYMBOL]],Table2[[SYMBOL2]:[Sector ]],2,)</f>
        <v>Non Life Insurance</v>
      </c>
      <c r="D13" s="9">
        <f ca="1">SPIL!F12</f>
        <v>1500</v>
      </c>
      <c r="E13" s="9">
        <f ca="1">SPIL!H12</f>
        <v>1300000</v>
      </c>
      <c r="F13" s="9">
        <f ca="1">SPIL!I12</f>
        <v>0</v>
      </c>
      <c r="G13" s="9">
        <f ca="1">SPIL!K12</f>
        <v>0</v>
      </c>
      <c r="H13" s="9">
        <f ca="1">SPIL!M12</f>
        <v>1300000</v>
      </c>
      <c r="I13" s="9">
        <f ca="1">SPIL!N12</f>
        <v>1500</v>
      </c>
      <c r="J13" s="9">
        <f ca="1">SPIL!O12</f>
        <v>866.66666666666663</v>
      </c>
      <c r="K13" s="10">
        <f>SPIL!P12</f>
        <v>0</v>
      </c>
      <c r="M13" s="20">
        <f>SPIL!R12</f>
        <v>4372.8900000000003</v>
      </c>
      <c r="N13" s="20">
        <f>SPIL!S12</f>
        <v>25</v>
      </c>
      <c r="O13" s="20">
        <f>SPIL!T12</f>
        <v>4397.8900000000003</v>
      </c>
      <c r="P13" s="20">
        <f>SPIL!U12</f>
        <v>1304397.8899999999</v>
      </c>
      <c r="Q13" s="20">
        <f>SPIL!V12</f>
        <v>0</v>
      </c>
      <c r="R13" s="20">
        <f>SPIL!W12</f>
        <v>0</v>
      </c>
      <c r="S13" s="20">
        <f>SPIL!X12</f>
        <v>0</v>
      </c>
      <c r="T13" s="20">
        <f>SPIL!Y12</f>
        <v>0</v>
      </c>
      <c r="U13" s="20">
        <f>SPIL!Z12</f>
        <v>0</v>
      </c>
      <c r="V13" s="20">
        <f>SPIL!AA12</f>
        <v>0</v>
      </c>
      <c r="W13" s="20">
        <f>SPIL!AB12</f>
        <v>1304397.8899999999</v>
      </c>
      <c r="X13" s="65">
        <f ca="1">SPIL!AC12</f>
        <v>869.59859333333327</v>
      </c>
      <c r="Y13" s="58">
        <f>SPIL!AD12</f>
        <v>0</v>
      </c>
      <c r="Z13" s="62"/>
    </row>
    <row r="14" spans="1:26" x14ac:dyDescent="0.25">
      <c r="A14" s="5">
        <v>11</v>
      </c>
      <c r="B14" s="6" t="s">
        <v>124</v>
      </c>
      <c r="C14" s="6" t="str">
        <f>VLOOKUP(Table242830891013141516232425323334353637[[#This Row],[SYMBOL]],Table2[[SYMBOL2]:[Sector ]],2,)</f>
        <v>Non Life Insurance</v>
      </c>
      <c r="D14" s="9">
        <f ca="1">HEI!F12</f>
        <v>2381</v>
      </c>
      <c r="E14" s="9">
        <f ca="1">HEI!H12</f>
        <v>1505125</v>
      </c>
      <c r="F14" s="9">
        <f ca="1">HEI!I12</f>
        <v>0</v>
      </c>
      <c r="G14" s="9">
        <f ca="1">HEI!K12</f>
        <v>0</v>
      </c>
      <c r="H14" s="9">
        <f ca="1">HEI!M12</f>
        <v>1505125</v>
      </c>
      <c r="I14" s="9">
        <f ca="1">HEI!N12</f>
        <v>2381</v>
      </c>
      <c r="J14" s="42">
        <f ca="1">HEI!O12</f>
        <v>632.13985720285598</v>
      </c>
      <c r="K14" s="10">
        <f>HEI!P12</f>
        <v>0</v>
      </c>
      <c r="M14" s="20">
        <f>HEI!R12</f>
        <v>5066.29</v>
      </c>
      <c r="N14" s="20">
        <f>HEI!S12</f>
        <v>75</v>
      </c>
      <c r="O14" s="20">
        <f>HEI!T12</f>
        <v>5141.29</v>
      </c>
      <c r="P14" s="20">
        <f>HEI!U12</f>
        <v>1510266.29</v>
      </c>
      <c r="Q14" s="20">
        <f>HEI!V12</f>
        <v>0</v>
      </c>
      <c r="R14" s="20">
        <f>HEI!W12</f>
        <v>0</v>
      </c>
      <c r="S14" s="20">
        <f>HEI!X12</f>
        <v>0</v>
      </c>
      <c r="T14" s="20">
        <f>HEI!Y12</f>
        <v>0</v>
      </c>
      <c r="U14" s="20">
        <f>HEI!Z12</f>
        <v>0</v>
      </c>
      <c r="V14" s="20">
        <f>HEI!AA12</f>
        <v>0</v>
      </c>
      <c r="W14" s="20">
        <f>HEI!AB12</f>
        <v>1510266.29</v>
      </c>
      <c r="X14" s="65">
        <f ca="1">HEI!AC12</f>
        <v>634.29915581688363</v>
      </c>
      <c r="Y14" s="58">
        <f>HEI!AD12</f>
        <v>0</v>
      </c>
      <c r="Z14" s="62"/>
    </row>
    <row r="15" spans="1:26" x14ac:dyDescent="0.25">
      <c r="A15" s="5">
        <v>12</v>
      </c>
      <c r="B15" s="84" t="s">
        <v>89</v>
      </c>
      <c r="C15" s="6" t="str">
        <f>VLOOKUP(Table242830891013141516232425323334353637[[#This Row],[SYMBOL]],Table2[[SYMBOL2]:[Sector ]],2,)</f>
        <v>Non Life Insurance</v>
      </c>
      <c r="D15" s="9">
        <f ca="1">UAIL!F17</f>
        <v>6513</v>
      </c>
      <c r="E15" s="9">
        <f ca="1">UAIL!H17</f>
        <v>3734290.28</v>
      </c>
      <c r="F15" s="9">
        <f ca="1">UAIL!I17</f>
        <v>5987</v>
      </c>
      <c r="G15" s="9">
        <f ca="1">UAIL!K17</f>
        <v>3461095</v>
      </c>
      <c r="H15" s="9">
        <f ca="1">UAIL!M17</f>
        <v>301587.08541071694</v>
      </c>
      <c r="I15" s="9">
        <f ca="1">UAIL!N17</f>
        <v>526</v>
      </c>
      <c r="J15" s="9">
        <f ca="1">UAIL!O17</f>
        <v>573.35947796714242</v>
      </c>
      <c r="K15" s="10">
        <f>UAIL!P17</f>
        <v>28391.805410716952</v>
      </c>
      <c r="M15" s="20">
        <f>UAIL!R17</f>
        <v>1026.3800000000001</v>
      </c>
      <c r="N15" s="20">
        <f>UAIL!S17</f>
        <v>25</v>
      </c>
      <c r="O15" s="20">
        <f>UAIL!T17</f>
        <v>1051.3800000000001</v>
      </c>
      <c r="P15" s="20">
        <f>UAIL!U17</f>
        <v>4158327.8582379902</v>
      </c>
      <c r="Q15" s="20">
        <f>UAIL!V17</f>
        <v>11933.53</v>
      </c>
      <c r="R15" s="20">
        <f>UAIL!W17</f>
        <v>175</v>
      </c>
      <c r="S15" s="20">
        <f>UAIL!X17</f>
        <v>12108.53</v>
      </c>
      <c r="T15" s="20">
        <f>UAIL!Y17</f>
        <v>0</v>
      </c>
      <c r="U15" s="20">
        <f>UAIL!Z17</f>
        <v>3444618.47</v>
      </c>
      <c r="V15" s="20">
        <f>UAIL!AA17</f>
        <v>3922865.9840663066</v>
      </c>
      <c r="W15" s="20">
        <f>UAIL!AB17</f>
        <v>235461.87417168356</v>
      </c>
      <c r="X15" s="65">
        <f ca="1">UAIL!AC17</f>
        <v>447.64614861536802</v>
      </c>
      <c r="Y15" s="58">
        <f>UAIL!AD17</f>
        <v>-477448.41278048872</v>
      </c>
      <c r="Z15" s="62"/>
    </row>
    <row r="16" spans="1:26" x14ac:dyDescent="0.25">
      <c r="A16" s="5">
        <v>13</v>
      </c>
      <c r="B16" s="84" t="s">
        <v>106</v>
      </c>
      <c r="C16" s="6" t="str">
        <f>VLOOKUP(Table242830891013141516232425323334353637[[#This Row],[SYMBOL]],Table2[[SYMBOL2]:[Sector ]],2,)</f>
        <v>Non Life Insurance</v>
      </c>
      <c r="D16" s="9">
        <f ca="1">NLG!F16</f>
        <v>7517</v>
      </c>
      <c r="E16" s="9">
        <f ca="1">NLG!H16</f>
        <v>5918657.7599999998</v>
      </c>
      <c r="F16" s="9">
        <f ca="1">NLG!I16</f>
        <v>7320</v>
      </c>
      <c r="G16" s="9">
        <f>NLG!K16</f>
        <v>6741784</v>
      </c>
      <c r="H16" s="9">
        <f ca="1">NLG!M16</f>
        <v>158688.45348295197</v>
      </c>
      <c r="I16" s="9">
        <f ca="1">NLG!N16</f>
        <v>197</v>
      </c>
      <c r="J16" s="9">
        <f ca="1">NLG!O16</f>
        <v>805.52514458351254</v>
      </c>
      <c r="K16" s="51">
        <f ca="1">NLG!P16</f>
        <v>981814.69348295219</v>
      </c>
      <c r="M16" s="20">
        <f>NLG!R16</f>
        <v>1554.06</v>
      </c>
      <c r="N16" s="20">
        <f>NLG!S16</f>
        <v>25</v>
      </c>
      <c r="O16" s="20">
        <f>NLG!T16</f>
        <v>1579.06</v>
      </c>
      <c r="P16" s="20">
        <f>NLG!U16</f>
        <v>7085058.8199999994</v>
      </c>
      <c r="Q16" s="20">
        <f>NLG!V16</f>
        <v>22904.019999999997</v>
      </c>
      <c r="R16" s="20">
        <f>NLG!W16</f>
        <v>100</v>
      </c>
      <c r="S16" s="20">
        <f>NLG!X16</f>
        <v>23004.019999999997</v>
      </c>
      <c r="T16" s="20">
        <f>NLG!Y16</f>
        <v>3838.23</v>
      </c>
      <c r="U16" s="20">
        <f>NLG!Z16</f>
        <v>6714941.7499999991</v>
      </c>
      <c r="V16" s="20">
        <f>NLG!AA16</f>
        <v>6898843.2000000002</v>
      </c>
      <c r="W16" s="20">
        <f>NLG!AB16</f>
        <v>186215.61999999918</v>
      </c>
      <c r="X16" s="65">
        <f ca="1">NLG!AC16</f>
        <v>945.25695431471661</v>
      </c>
      <c r="Y16" s="58">
        <f>NLG!AD16</f>
        <v>-180063.21999999986</v>
      </c>
      <c r="Z16" s="62"/>
    </row>
    <row r="17" spans="1:26" x14ac:dyDescent="0.25">
      <c r="A17" s="5">
        <v>14</v>
      </c>
      <c r="B17" s="84" t="s">
        <v>114</v>
      </c>
      <c r="C17" s="6" t="str">
        <f>VLOOKUP(Table242830891013141516232425323334353637[[#This Row],[SYMBOL]],Table2[[SYMBOL2]:[Sector ]],2,)</f>
        <v>Non Life Insurance</v>
      </c>
      <c r="D17" s="9">
        <f ca="1">NICL!F11</f>
        <v>3203</v>
      </c>
      <c r="E17" s="9">
        <f ca="1">NICL!H11</f>
        <v>2066511.5399999998</v>
      </c>
      <c r="F17" s="9">
        <f ca="1">NICL!I11</f>
        <v>3203</v>
      </c>
      <c r="G17" s="9">
        <f>NICL!K11</f>
        <v>2172729.6</v>
      </c>
      <c r="H17" s="9">
        <f ca="1">NICL!M11</f>
        <v>0</v>
      </c>
      <c r="I17" s="9">
        <f ca="1">NICL!N11</f>
        <v>0</v>
      </c>
      <c r="J17" s="9">
        <f ca="1">NICL!O11</f>
        <v>0</v>
      </c>
      <c r="K17" s="51">
        <f ca="1">NICL!P11</f>
        <v>106218.06000000006</v>
      </c>
      <c r="M17" s="20">
        <f>NICL!R11</f>
        <v>0</v>
      </c>
      <c r="N17" s="20">
        <f>NICL!S11</f>
        <v>0</v>
      </c>
      <c r="O17" s="20">
        <f>NICL!T11</f>
        <v>0</v>
      </c>
      <c r="P17" s="20">
        <f>NICL!U11</f>
        <v>2862745.31</v>
      </c>
      <c r="Q17" s="20">
        <f>NICL!V11</f>
        <v>7620.0400000000009</v>
      </c>
      <c r="R17" s="20">
        <f>NICL!W11</f>
        <v>75</v>
      </c>
      <c r="S17" s="20">
        <f>NICL!X11</f>
        <v>7695.0400000000009</v>
      </c>
      <c r="T17" s="20">
        <f>NICL!Y11</f>
        <v>0</v>
      </c>
      <c r="U17" s="20">
        <f>NICL!Z11</f>
        <v>2165034.56</v>
      </c>
      <c r="V17" s="20">
        <f>NICL!AA11</f>
        <v>2862745.31</v>
      </c>
      <c r="W17" s="20">
        <f>NICL!AB11</f>
        <v>0</v>
      </c>
      <c r="X17" s="65">
        <f ca="1">NICL!AC11</f>
        <v>0</v>
      </c>
      <c r="Y17" s="58">
        <f>NICL!AD11</f>
        <v>-697710.75000000012</v>
      </c>
      <c r="Z17" s="62"/>
    </row>
    <row r="18" spans="1:26" x14ac:dyDescent="0.25">
      <c r="A18" s="5">
        <v>15</v>
      </c>
      <c r="B18" s="84" t="s">
        <v>136</v>
      </c>
      <c r="C18" s="6" t="str">
        <f>VLOOKUP(Table242830891013141516232425323334353637[[#This Row],[SYMBOL]],Table2[[SYMBOL2]:[Sector ]],2,)</f>
        <v>Life Insurance</v>
      </c>
      <c r="D18" s="9">
        <f ca="1">SRLI!F16</f>
        <v>6184</v>
      </c>
      <c r="E18" s="9">
        <f ca="1">SRLI!H16</f>
        <v>2571222.54</v>
      </c>
      <c r="F18" s="9">
        <f ca="1">SPIL!F12</f>
        <v>1500</v>
      </c>
      <c r="G18" s="9">
        <f ca="1">SPIL!H12</f>
        <v>1300000</v>
      </c>
      <c r="H18" s="9">
        <f ca="1">SRLI!M16</f>
        <v>2571222.54</v>
      </c>
      <c r="I18" s="9">
        <f ca="1">SRLI!N16</f>
        <v>6184</v>
      </c>
      <c r="J18" s="9">
        <f ca="1">SRLI!O16</f>
        <v>415.78630983182404</v>
      </c>
      <c r="K18" s="10">
        <f ca="1">SRLI!P16</f>
        <v>0</v>
      </c>
      <c r="M18" s="20">
        <f>SRLI!R16</f>
        <v>2579.9</v>
      </c>
      <c r="N18" s="20">
        <f>SRLI!S16</f>
        <v>50</v>
      </c>
      <c r="O18" s="20">
        <f>SRLI!T16</f>
        <v>2629.9</v>
      </c>
      <c r="P18" s="20">
        <f>SRLI!U16</f>
        <v>2974864.7588236751</v>
      </c>
      <c r="Q18" s="20">
        <f>SRLI!V16</f>
        <v>0</v>
      </c>
      <c r="R18" s="20">
        <f>SRLI!W16</f>
        <v>0</v>
      </c>
      <c r="S18" s="20">
        <f>SRLI!X16</f>
        <v>0</v>
      </c>
      <c r="T18" s="20">
        <f>SRLI!Y16</f>
        <v>0</v>
      </c>
      <c r="U18" s="20">
        <f ca="1">SRLI!Z16</f>
        <v>0</v>
      </c>
      <c r="V18" s="20">
        <f>SRLI!AA16</f>
        <v>0</v>
      </c>
      <c r="W18" s="20">
        <f>SRLI!AB16</f>
        <v>2974864.7588236751</v>
      </c>
      <c r="X18" s="65">
        <f ca="1">SRLI!AC16</f>
        <v>481.05833745531618</v>
      </c>
      <c r="Y18" s="58">
        <f ca="1">SRLI!AD16</f>
        <v>0</v>
      </c>
      <c r="Z18" s="62"/>
    </row>
    <row r="19" spans="1:26" x14ac:dyDescent="0.25">
      <c r="A19" s="5">
        <v>16</v>
      </c>
      <c r="B19" s="84" t="s">
        <v>91</v>
      </c>
      <c r="C19" s="6" t="str">
        <f>VLOOKUP(Table242830891013141516232425323334353637[[#This Row],[SYMBOL]],Table2[[SYMBOL2]:[Sector ]],2,)</f>
        <v>Life Insurance</v>
      </c>
      <c r="D19" s="9">
        <f ca="1">ILI!F17</f>
        <v>12446</v>
      </c>
      <c r="E19" s="9">
        <f ca="1">ILI!H17</f>
        <v>5789169</v>
      </c>
      <c r="F19" s="9">
        <f ca="1">ILI!I17</f>
        <v>0</v>
      </c>
      <c r="G19" s="9">
        <f>ILI!K17</f>
        <v>0</v>
      </c>
      <c r="H19" s="9">
        <f ca="1">ILI!M17</f>
        <v>5789169</v>
      </c>
      <c r="I19" s="9">
        <f ca="1">ILI!N17</f>
        <v>12446</v>
      </c>
      <c r="J19" s="9">
        <f ca="1">ILI!O17</f>
        <v>465.14293748995664</v>
      </c>
      <c r="K19" s="10">
        <f>ILI!P17</f>
        <v>0</v>
      </c>
      <c r="M19" s="20">
        <f>ILI!R17</f>
        <v>3376.55</v>
      </c>
      <c r="N19" s="20">
        <f>ILI!S17</f>
        <v>50</v>
      </c>
      <c r="O19" s="20">
        <f>ILI!T17</f>
        <v>3426.55</v>
      </c>
      <c r="P19" s="20">
        <f>ILI!U17</f>
        <v>6351461.5499999998</v>
      </c>
      <c r="Q19" s="20">
        <f>ILI!V17</f>
        <v>0</v>
      </c>
      <c r="R19" s="20">
        <f>ILI!W17</f>
        <v>0</v>
      </c>
      <c r="S19" s="20">
        <f>ILI!X17</f>
        <v>0</v>
      </c>
      <c r="T19" s="20">
        <f>ILI!Y17</f>
        <v>0</v>
      </c>
      <c r="U19" s="20">
        <f ca="1">ILI!Z17</f>
        <v>0</v>
      </c>
      <c r="V19" s="20">
        <f>ILI!AA17</f>
        <v>0</v>
      </c>
      <c r="W19" s="20">
        <f>ILI!AB17</f>
        <v>6351461.5499999998</v>
      </c>
      <c r="X19" s="65">
        <f ca="1">ILI!AC17</f>
        <v>510.32151293588299</v>
      </c>
      <c r="Y19" s="58">
        <f ca="1">ILI!AD17</f>
        <v>0</v>
      </c>
      <c r="Z19" s="62"/>
    </row>
    <row r="20" spans="1:26" x14ac:dyDescent="0.25">
      <c r="A20" s="5">
        <v>17</v>
      </c>
      <c r="B20" s="84" t="s">
        <v>77</v>
      </c>
      <c r="C20" s="6" t="str">
        <f>VLOOKUP(Table242830891013141516232425323334353637[[#This Row],[SYMBOL]],Table2[[SYMBOL2]:[Sector ]],2,)</f>
        <v>Life Insurance</v>
      </c>
      <c r="D20" s="9">
        <f ca="1">HLI!F10</f>
        <v>5140</v>
      </c>
      <c r="E20" s="9">
        <f ca="1">HLI!H10</f>
        <v>2104385.4000000004</v>
      </c>
      <c r="F20" s="9">
        <f ca="1">HLI!I10</f>
        <v>5140</v>
      </c>
      <c r="G20" s="9">
        <f ca="1">HLI!K10</f>
        <v>2219060</v>
      </c>
      <c r="H20" s="9">
        <f ca="1">HLI!M10</f>
        <v>0</v>
      </c>
      <c r="I20" s="9">
        <f ca="1">HLI!N10</f>
        <v>0</v>
      </c>
      <c r="J20" s="9">
        <f ca="1">HLI!O10</f>
        <v>0</v>
      </c>
      <c r="K20" s="10">
        <f ca="1">HLI!P10</f>
        <v>114674.59999999963</v>
      </c>
      <c r="M20" s="20">
        <f>HLI!R10</f>
        <v>1491.02</v>
      </c>
      <c r="N20" s="20">
        <f>HLI!S10</f>
        <v>25</v>
      </c>
      <c r="O20" s="20">
        <f>HLI!T10</f>
        <v>1516.02</v>
      </c>
      <c r="P20" s="20">
        <f>HLI!U10</f>
        <v>2246783.4500000002</v>
      </c>
      <c r="Q20" s="20">
        <f>HLI!V10</f>
        <v>7665.69</v>
      </c>
      <c r="R20" s="20">
        <f>HLI!W10</f>
        <v>25</v>
      </c>
      <c r="S20" s="20">
        <f>HLI!X10</f>
        <v>7690.69</v>
      </c>
      <c r="T20" s="20">
        <f>HLI!Y10</f>
        <v>0</v>
      </c>
      <c r="U20" s="20">
        <f ca="1">HLI!Z10</f>
        <v>2211369.31</v>
      </c>
      <c r="V20" s="20">
        <f>HLI!AA10</f>
        <v>2246783.4500000002</v>
      </c>
      <c r="W20" s="20">
        <f>HLI!AB10</f>
        <v>0</v>
      </c>
      <c r="X20" s="65">
        <f ca="1">HLI!AC10</f>
        <v>0</v>
      </c>
      <c r="Y20" s="58">
        <f ca="1">HLI!AD10</f>
        <v>-35414.14000000013</v>
      </c>
      <c r="Z20" s="62"/>
    </row>
    <row r="21" spans="1:26" x14ac:dyDescent="0.25">
      <c r="A21" s="5">
        <v>18</v>
      </c>
      <c r="B21" s="84" t="s">
        <v>87</v>
      </c>
      <c r="C21" s="6" t="str">
        <f>VLOOKUP(Table242830891013141516232425323334353637[[#This Row],[SYMBOL]],Table2[[SYMBOL2]:[Sector ]],2,)</f>
        <v>Life Insurance</v>
      </c>
      <c r="D21" s="9">
        <f ca="1">LICN!F17</f>
        <v>2790</v>
      </c>
      <c r="E21" s="9">
        <f ca="1">LICN!H17</f>
        <v>2518230.7000000002</v>
      </c>
      <c r="F21" s="9">
        <f ca="1">LICN!I17</f>
        <v>0</v>
      </c>
      <c r="G21" s="9">
        <f>LICN!K17</f>
        <v>0</v>
      </c>
      <c r="H21" s="9">
        <f ca="1">LICN!M17</f>
        <v>2518230.7000000002</v>
      </c>
      <c r="I21" s="9">
        <f ca="1">LICN!N17</f>
        <v>2790</v>
      </c>
      <c r="J21" s="9">
        <f ca="1">LICN!O17</f>
        <v>902.59164874551982</v>
      </c>
      <c r="K21" s="51">
        <f ca="1">LICN!P17</f>
        <v>0</v>
      </c>
      <c r="M21" s="20">
        <f>LICN!R17</f>
        <v>2276.11</v>
      </c>
      <c r="N21" s="20">
        <f>LICN!S17</f>
        <v>50</v>
      </c>
      <c r="O21" s="20">
        <f>LICN!T17</f>
        <v>2326.11</v>
      </c>
      <c r="P21" s="20">
        <f>LICN!U17</f>
        <v>2887916.1100000003</v>
      </c>
      <c r="Q21" s="20">
        <f>LICN!V17</f>
        <v>0</v>
      </c>
      <c r="R21" s="20">
        <f>LICN!W17</f>
        <v>0</v>
      </c>
      <c r="S21" s="20">
        <f>LICN!X17</f>
        <v>0</v>
      </c>
      <c r="T21" s="20">
        <f>LICN!Y17</f>
        <v>0</v>
      </c>
      <c r="U21" s="20">
        <f>LICN!Z17</f>
        <v>0</v>
      </c>
      <c r="V21" s="20">
        <f>LICN!AA17</f>
        <v>0</v>
      </c>
      <c r="W21" s="20">
        <f>LICN!AB17</f>
        <v>2887916.1100000003</v>
      </c>
      <c r="X21" s="65">
        <f ca="1">LICN!AC17</f>
        <v>1035.0953799283154</v>
      </c>
      <c r="Y21" s="58">
        <f>LICN!AD17</f>
        <v>0</v>
      </c>
      <c r="Z21" s="62"/>
    </row>
    <row r="22" spans="1:26" x14ac:dyDescent="0.25">
      <c r="A22" s="5">
        <v>19</v>
      </c>
      <c r="B22" s="84" t="s">
        <v>83</v>
      </c>
      <c r="C22" s="6" t="str">
        <f>VLOOKUP(Table242830891013141516232425323334353637[[#This Row],[SYMBOL]],Table2[[SYMBOL2]:[Sector ]],2,)</f>
        <v>Life Insurance</v>
      </c>
      <c r="D22" s="9">
        <f ca="1">CLI!F17</f>
        <v>11147</v>
      </c>
      <c r="E22" s="9">
        <f ca="1">CLI!H17</f>
        <v>5302113.28</v>
      </c>
      <c r="F22" s="9">
        <f ca="1">CLI!I17</f>
        <v>0</v>
      </c>
      <c r="G22" s="9">
        <f>CLI!K17</f>
        <v>0</v>
      </c>
      <c r="H22" s="9">
        <f ca="1">CLI!M17</f>
        <v>5302113.28</v>
      </c>
      <c r="I22" s="9">
        <f ca="1">CLI!N17</f>
        <v>11147</v>
      </c>
      <c r="J22" s="9">
        <f ca="1">CLI!O17</f>
        <v>475.65383331838166</v>
      </c>
      <c r="K22" s="51">
        <f ca="1">CLI!P17</f>
        <v>0</v>
      </c>
      <c r="M22" s="20">
        <f>CLI!R17</f>
        <v>1701.37</v>
      </c>
      <c r="N22" s="20">
        <f>CLI!S17</f>
        <v>25</v>
      </c>
      <c r="O22" s="20">
        <f>CLI!T17</f>
        <v>1726.37</v>
      </c>
      <c r="P22" s="20">
        <f>CLI!U17</f>
        <v>6290453.2022693027</v>
      </c>
      <c r="Q22" s="20">
        <f>CLI!V17</f>
        <v>0</v>
      </c>
      <c r="R22" s="20">
        <f>CLI!W17</f>
        <v>0</v>
      </c>
      <c r="S22" s="20">
        <f>CLI!X17</f>
        <v>0</v>
      </c>
      <c r="T22" s="20">
        <f>CLI!Y17</f>
        <v>0</v>
      </c>
      <c r="U22" s="20">
        <f>CLI!Z17</f>
        <v>0</v>
      </c>
      <c r="V22" s="20">
        <f>CLI!AA17</f>
        <v>0</v>
      </c>
      <c r="W22" s="20">
        <f>CLI!AB17</f>
        <v>6290453.2022693027</v>
      </c>
      <c r="X22" s="65">
        <f ca="1">CLI!AC17</f>
        <v>564.31804093202675</v>
      </c>
      <c r="Y22" s="58">
        <f>CLI!AD17</f>
        <v>0</v>
      </c>
      <c r="Z22" s="62"/>
    </row>
    <row r="23" spans="1:26" x14ac:dyDescent="0.25">
      <c r="A23" s="5">
        <v>20</v>
      </c>
      <c r="B23" s="84" t="s">
        <v>130</v>
      </c>
      <c r="C23" s="6" t="str">
        <f>VLOOKUP(Table242830891013141516232425323334353637[[#This Row],[SYMBOL]],Table2[[SYMBOL2]:[Sector ]],2,)</f>
        <v>Hydro Power</v>
      </c>
      <c r="D23" s="9">
        <f ca="1">SHPC!F9</f>
        <v>900</v>
      </c>
      <c r="E23" s="9">
        <f ca="1">SHPC!H9</f>
        <v>564219</v>
      </c>
      <c r="F23" s="9">
        <f ca="1">SHPC!I9</f>
        <v>900</v>
      </c>
      <c r="G23" s="9">
        <f ca="1">SHPC!K9</f>
        <v>583000</v>
      </c>
      <c r="H23" s="9">
        <f ca="1">SHPC!M9</f>
        <v>0</v>
      </c>
      <c r="I23" s="9">
        <f ca="1">SHPC!N9</f>
        <v>0</v>
      </c>
      <c r="J23" s="42">
        <f ca="1">IFERROR(#REF!/Table242830891013141516232425323334353637[[#This Row],[Closing Unit]],0)</f>
        <v>0</v>
      </c>
      <c r="K23" s="10">
        <f>SHPC!P9</f>
        <v>18781</v>
      </c>
      <c r="M23" s="20">
        <f>SHPC!R9</f>
        <v>0</v>
      </c>
      <c r="N23" s="20">
        <f>SHPC!S9</f>
        <v>0</v>
      </c>
      <c r="O23" s="20">
        <f>SHPC!T9</f>
        <v>0</v>
      </c>
      <c r="P23" s="20">
        <f>SHPC!U9</f>
        <v>546768</v>
      </c>
      <c r="Q23" s="20">
        <f>SHPC!V9</f>
        <v>2011.3500000000001</v>
      </c>
      <c r="R23" s="20">
        <f>SHPC!W9</f>
        <v>25</v>
      </c>
      <c r="S23" s="20">
        <f>SHPC!X9</f>
        <v>2036.3500000000001</v>
      </c>
      <c r="T23" s="20">
        <f>SHPC!Y9</f>
        <v>3419.75</v>
      </c>
      <c r="U23" s="20">
        <f>SHPC!Z9</f>
        <v>577543.9</v>
      </c>
      <c r="V23" s="20">
        <f>SHPC!AA9</f>
        <v>546768</v>
      </c>
      <c r="W23" s="20">
        <f>SHPC!AB9</f>
        <v>0</v>
      </c>
      <c r="X23" s="65">
        <f ca="1">SHPC!AC9</f>
        <v>0</v>
      </c>
      <c r="Y23" s="58">
        <f>SHPC!AD9</f>
        <v>34195.650000000023</v>
      </c>
      <c r="Z23" s="62"/>
    </row>
    <row r="24" spans="1:26" x14ac:dyDescent="0.25">
      <c r="A24" s="5">
        <v>21</v>
      </c>
      <c r="B24" s="84" t="s">
        <v>95</v>
      </c>
      <c r="C24" s="6" t="str">
        <f>VLOOKUP(Table242830891013141516232425323334353637[[#This Row],[SYMBOL]],Table2[[SYMBOL2]:[Sector ]],2,)</f>
        <v>Hydro Power</v>
      </c>
      <c r="D24" s="9">
        <f ca="1">SJCL!F10</f>
        <v>8298</v>
      </c>
      <c r="E24" s="9">
        <f ca="1">SJCL!H10</f>
        <v>2639149.44</v>
      </c>
      <c r="F24" s="9">
        <f ca="1">SJCL!I10</f>
        <v>0</v>
      </c>
      <c r="G24" s="9">
        <f ca="1">SJCL!K10</f>
        <v>0</v>
      </c>
      <c r="H24" s="9">
        <f ca="1">SJCL!M10</f>
        <v>2639149.44</v>
      </c>
      <c r="I24" s="9">
        <f ca="1">SJCL!N10</f>
        <v>8298</v>
      </c>
      <c r="J24" s="9">
        <f ca="1">SJCL!O10</f>
        <v>318.04644974692695</v>
      </c>
      <c r="K24" s="51">
        <f ca="1">SJCL!P10</f>
        <v>0</v>
      </c>
      <c r="M24" s="20">
        <f>SJCL!R10</f>
        <v>569.25</v>
      </c>
      <c r="N24" s="20">
        <f>SJCL!S10</f>
        <v>25</v>
      </c>
      <c r="O24" s="20">
        <f>SJCL!T10</f>
        <v>594.25</v>
      </c>
      <c r="P24" s="20">
        <f>SJCL!U10</f>
        <v>2832620.2139261896</v>
      </c>
      <c r="Q24" s="20">
        <f>SJCL!V10</f>
        <v>0</v>
      </c>
      <c r="R24" s="20">
        <f>SJCL!W10</f>
        <v>0</v>
      </c>
      <c r="S24" s="20">
        <f>SJCL!X10</f>
        <v>0</v>
      </c>
      <c r="T24" s="20">
        <f>SJCL!Y10</f>
        <v>0</v>
      </c>
      <c r="U24" s="20">
        <f>SJCL!Z10</f>
        <v>0</v>
      </c>
      <c r="V24" s="20">
        <f>SJCL!AA10</f>
        <v>0</v>
      </c>
      <c r="W24" s="20">
        <f>SJCL!AB10</f>
        <v>2832620.2139261896</v>
      </c>
      <c r="X24" s="65">
        <f ca="1">SJCL!AC10</f>
        <v>341.36179970187874</v>
      </c>
      <c r="Y24" s="58">
        <f>SJCL!AD10</f>
        <v>0</v>
      </c>
      <c r="Z24" s="62"/>
    </row>
    <row r="25" spans="1:26" x14ac:dyDescent="0.25">
      <c r="A25" s="5">
        <v>22</v>
      </c>
      <c r="B25" s="84" t="s">
        <v>100</v>
      </c>
      <c r="C25" s="6" t="str">
        <f>VLOOKUP(Table242830891013141516232425323334353637[[#This Row],[SYMBOL]],Table2[[SYMBOL2]:[Sector ]],2,)</f>
        <v>Hydro Power</v>
      </c>
      <c r="D25" s="9">
        <f ca="1">AHPC!F10</f>
        <v>1015</v>
      </c>
      <c r="E25" s="9">
        <f ca="1">AHPC!H10</f>
        <v>328875.34999999998</v>
      </c>
      <c r="F25" s="9">
        <f ca="1">AHPC!I10</f>
        <v>15</v>
      </c>
      <c r="G25" s="9">
        <f ca="1">AHPC!K10</f>
        <v>4575</v>
      </c>
      <c r="H25" s="9">
        <f ca="1">AHPC!M10</f>
        <v>324500</v>
      </c>
      <c r="I25" s="9">
        <f ca="1">AHPC!N10</f>
        <v>1000</v>
      </c>
      <c r="J25" s="9">
        <f ca="1">AHPC!O10</f>
        <v>324.5</v>
      </c>
      <c r="K25" s="51">
        <f>AHPC!P10</f>
        <v>199.64999999999964</v>
      </c>
      <c r="M25" s="20">
        <f>AHPC!R10</f>
        <v>1138.99</v>
      </c>
      <c r="N25" s="20">
        <f>AHPC!S10</f>
        <v>25</v>
      </c>
      <c r="O25" s="20">
        <f>AHPC!T10</f>
        <v>1163.99</v>
      </c>
      <c r="P25" s="20">
        <f>AHPC!U10</f>
        <v>330285.19</v>
      </c>
      <c r="Q25" s="20">
        <f>AHPC!V10</f>
        <v>17.16</v>
      </c>
      <c r="R25" s="20">
        <f>AHPC!W10</f>
        <v>25</v>
      </c>
      <c r="S25" s="20">
        <f>AHPC!X10</f>
        <v>42.16</v>
      </c>
      <c r="T25" s="20">
        <f>AHPC!Y10</f>
        <v>0</v>
      </c>
      <c r="U25" s="20">
        <f>AHPC!Z10</f>
        <v>4532.84</v>
      </c>
      <c r="V25" s="20">
        <f>AHPC!AA10</f>
        <v>4621.2</v>
      </c>
      <c r="W25" s="20">
        <f>AHPC!AB10</f>
        <v>325663.99</v>
      </c>
      <c r="X25" s="65">
        <f ca="1">AHPC!AC10</f>
        <v>325.66399000000001</v>
      </c>
      <c r="Y25" s="58">
        <f>AHPC!AD10</f>
        <v>-88.359999999999673</v>
      </c>
      <c r="Z25" s="62"/>
    </row>
    <row r="26" spans="1:26" x14ac:dyDescent="0.25">
      <c r="A26" s="5">
        <v>23</v>
      </c>
      <c r="B26" s="84" t="s">
        <v>118</v>
      </c>
      <c r="C26" s="6" t="str">
        <f>VLOOKUP(Table242830891013141516232425323334353637[[#This Row],[SYMBOL]],Table2[[SYMBOL2]:[Sector ]],2,)</f>
        <v>Hydro Power</v>
      </c>
      <c r="D26" s="9">
        <f ca="1">SMJC!F14</f>
        <v>6943</v>
      </c>
      <c r="E26" s="9">
        <f ca="1">SMJC!H14</f>
        <v>3696869.7800000003</v>
      </c>
      <c r="F26" s="9">
        <f ca="1">SMJC!I14</f>
        <v>6943</v>
      </c>
      <c r="G26" s="9">
        <f ca="1">SMJC!K14</f>
        <v>4393017</v>
      </c>
      <c r="H26" s="9">
        <f ca="1">SMJC!M14</f>
        <v>0</v>
      </c>
      <c r="I26" s="9">
        <f ca="1">SMJC!N14</f>
        <v>0</v>
      </c>
      <c r="J26" s="9">
        <f ca="1">SMJC!O14</f>
        <v>0</v>
      </c>
      <c r="K26" s="51">
        <f ca="1">SMJC!P14</f>
        <v>696147.21999999974</v>
      </c>
      <c r="M26" s="20">
        <f>SMJC!R14</f>
        <v>0</v>
      </c>
      <c r="N26" s="20">
        <f>SMJC!S14</f>
        <v>0</v>
      </c>
      <c r="O26" s="20">
        <f>SMJC!T14</f>
        <v>0</v>
      </c>
      <c r="P26" s="20">
        <f>SMJC!U14</f>
        <v>4395196.72</v>
      </c>
      <c r="Q26" s="20">
        <f>SMJC!V14</f>
        <v>15074.81</v>
      </c>
      <c r="R26" s="20">
        <f>SMJC!W14</f>
        <v>150</v>
      </c>
      <c r="S26" s="20">
        <f>SMJC!X14</f>
        <v>15224.81</v>
      </c>
      <c r="T26" s="20">
        <f>SMJC!Y14</f>
        <v>3460.77</v>
      </c>
      <c r="U26" s="20">
        <f>SMJC!Z14</f>
        <v>4374331.42</v>
      </c>
      <c r="V26" s="20">
        <f>SMJC!AA14</f>
        <v>4395196.72</v>
      </c>
      <c r="W26" s="20">
        <f>SMJC!AB14</f>
        <v>0</v>
      </c>
      <c r="X26" s="65">
        <f ca="1">SMJC!AC14</f>
        <v>0</v>
      </c>
      <c r="Y26" s="58">
        <f>SMJC!AD14</f>
        <v>-17404.52999999981</v>
      </c>
      <c r="Z26" s="62"/>
    </row>
    <row r="27" spans="1:26" x14ac:dyDescent="0.25">
      <c r="A27" s="5">
        <v>24</v>
      </c>
      <c r="B27" s="6" t="s">
        <v>126</v>
      </c>
      <c r="C27" s="6" t="str">
        <f>VLOOKUP(Table242830891013141516232425323334353637[[#This Row],[SYMBOL]],Table2[[SYMBOL2]:[Sector ]],2,)</f>
        <v>Microfinance</v>
      </c>
      <c r="D27" s="9">
        <f ca="1">KMCDB!F12</f>
        <v>1000</v>
      </c>
      <c r="E27" s="9">
        <f ca="1">KMCDB!H12</f>
        <v>1138500</v>
      </c>
      <c r="F27" s="9">
        <f ca="1">KMCDB!I12</f>
        <v>0</v>
      </c>
      <c r="G27" s="9">
        <f ca="1">KMCDB!K12</f>
        <v>0</v>
      </c>
      <c r="H27" s="9">
        <f ca="1">KMCDB!M12</f>
        <v>1138500</v>
      </c>
      <c r="I27" s="9">
        <f ca="1">KMCDB!N12</f>
        <v>1000</v>
      </c>
      <c r="J27" s="42">
        <f ca="1">KMCDB!O12</f>
        <v>1138.5</v>
      </c>
      <c r="K27" s="10">
        <f>KMCDB!P12</f>
        <v>0</v>
      </c>
      <c r="M27" s="20">
        <f>KMCDB!R12</f>
        <v>3839.98</v>
      </c>
      <c r="N27" s="20">
        <f>KMCDB!S12</f>
        <v>25</v>
      </c>
      <c r="O27" s="20">
        <f>KMCDB!T12</f>
        <v>3864.98</v>
      </c>
      <c r="P27" s="20">
        <f>KMCDB!U12</f>
        <v>1142364.98</v>
      </c>
      <c r="Q27" s="20">
        <f>KMCDB!V12</f>
        <v>0</v>
      </c>
      <c r="R27" s="20">
        <f>KMCDB!W12</f>
        <v>0</v>
      </c>
      <c r="S27" s="20">
        <f>KMCDB!X12</f>
        <v>0</v>
      </c>
      <c r="T27" s="20">
        <f>KMCDB!Y12</f>
        <v>0</v>
      </c>
      <c r="U27" s="20">
        <f>KMCDB!Z12</f>
        <v>0</v>
      </c>
      <c r="V27" s="20">
        <f>KMCDB!AA12</f>
        <v>0</v>
      </c>
      <c r="W27" s="20">
        <f>KMCDB!AB12</f>
        <v>1142364.98</v>
      </c>
      <c r="X27" s="65">
        <f ca="1">KMCDB!AC12</f>
        <v>1142.3649800000001</v>
      </c>
      <c r="Y27" s="58">
        <f>KMCDB!AD12</f>
        <v>0</v>
      </c>
      <c r="Z27" s="62"/>
    </row>
    <row r="28" spans="1:26" x14ac:dyDescent="0.25">
      <c r="A28" s="5">
        <v>25</v>
      </c>
      <c r="B28" s="84" t="s">
        <v>59</v>
      </c>
      <c r="C28" s="6" t="str">
        <f>VLOOKUP(Table242830891013141516232425323334353637[[#This Row],[SYMBOL]],Table2[[SYMBOL2]:[Sector ]],2,)</f>
        <v>Microfinance</v>
      </c>
      <c r="D28" s="9">
        <f>FMDBL!F10</f>
        <v>2010</v>
      </c>
      <c r="E28" s="9">
        <f>FMDBL!H10</f>
        <v>1606150.8</v>
      </c>
      <c r="F28" s="9">
        <f>FMDBL!I10</f>
        <v>2010</v>
      </c>
      <c r="G28" s="9">
        <f>FMDBL!K10</f>
        <v>1830570</v>
      </c>
      <c r="H28" s="9">
        <f>FMDBL!M10</f>
        <v>0</v>
      </c>
      <c r="I28" s="9">
        <f>FMDBL!N10</f>
        <v>0</v>
      </c>
      <c r="J28" s="9">
        <f>FMDBL!O10</f>
        <v>0</v>
      </c>
      <c r="K28" s="10">
        <f>FMDBL!P10</f>
        <v>224419.19999999995</v>
      </c>
      <c r="M28" s="20">
        <f>FMDBL!R10</f>
        <v>0</v>
      </c>
      <c r="N28" s="20">
        <f>FMDBL!S10</f>
        <v>0</v>
      </c>
      <c r="O28" s="20">
        <f>FMDBL!T10</f>
        <v>0</v>
      </c>
      <c r="P28" s="20">
        <f>FMDBL!U10</f>
        <v>1688239.2</v>
      </c>
      <c r="Q28" s="20">
        <f>FMDBL!V10</f>
        <v>6339.33</v>
      </c>
      <c r="R28" s="20">
        <f>FMDBL!W10</f>
        <v>50</v>
      </c>
      <c r="S28" s="20">
        <f>FMDBL!X10</f>
        <v>6389.33</v>
      </c>
      <c r="T28" s="20">
        <f>FMDBL!Y10</f>
        <v>13595.16</v>
      </c>
      <c r="U28" s="20">
        <f>FMDBL!Z10</f>
        <v>1810585.51</v>
      </c>
      <c r="V28" s="20">
        <f>FMDBL!AA10</f>
        <v>1688239.2</v>
      </c>
      <c r="W28" s="20">
        <f>FMDBL!AB10</f>
        <v>0</v>
      </c>
      <c r="X28" s="65">
        <f>FMDBL!AC10</f>
        <v>0</v>
      </c>
      <c r="Y28" s="58">
        <f>FMDBL!AD10</f>
        <v>135941.47</v>
      </c>
      <c r="Z28" s="62"/>
    </row>
    <row r="29" spans="1:26" x14ac:dyDescent="0.25">
      <c r="A29" s="5">
        <v>26</v>
      </c>
      <c r="B29" s="84" t="s">
        <v>69</v>
      </c>
      <c r="C29" s="6" t="str">
        <f>VLOOKUP(Table242830891013141516232425323334353637[[#This Row],[SYMBOL]],Table2[[SYMBOL2]:[Sector ]],2,)</f>
        <v>Microfinance</v>
      </c>
      <c r="D29" s="9">
        <f ca="1">MSLB!F18</f>
        <v>4906</v>
      </c>
      <c r="E29" s="9">
        <f ca="1">MSLB!H18</f>
        <v>6375557.6600000001</v>
      </c>
      <c r="F29" s="9">
        <f ca="1">MSLB!I18</f>
        <v>4906</v>
      </c>
      <c r="G29" s="9">
        <f ca="1">MSLB!K18</f>
        <v>7204920</v>
      </c>
      <c r="H29" s="9">
        <f ca="1">MSLB!M18</f>
        <v>0</v>
      </c>
      <c r="I29" s="9">
        <f ca="1">MSLB!N18</f>
        <v>0</v>
      </c>
      <c r="J29" s="9">
        <f ca="1">MSLB!O18</f>
        <v>0</v>
      </c>
      <c r="K29" s="10">
        <f ca="1">MSLB!P18</f>
        <v>829362.3400000002</v>
      </c>
      <c r="M29" s="20">
        <f>MSLB!R18</f>
        <v>745.43999999999994</v>
      </c>
      <c r="N29" s="20">
        <f>MSLB!S18</f>
        <v>50</v>
      </c>
      <c r="O29" s="20">
        <f>MSLB!T18</f>
        <v>795.43999999999994</v>
      </c>
      <c r="P29" s="20">
        <f>MSLB!U18</f>
        <v>7172942.3399999999</v>
      </c>
      <c r="Q29" s="20">
        <f>MSLB!V18</f>
        <v>23928.710000000003</v>
      </c>
      <c r="R29" s="20">
        <f>MSLB!W18</f>
        <v>175</v>
      </c>
      <c r="S29" s="20">
        <f>MSLB!X18</f>
        <v>24103.710000000003</v>
      </c>
      <c r="T29" s="20">
        <f>MSLB!Y18</f>
        <v>11488.56</v>
      </c>
      <c r="U29" s="20">
        <f ca="1">MSLB!Z18</f>
        <v>7169327.7300000004</v>
      </c>
      <c r="V29" s="20">
        <f>MSLB!AA18</f>
        <v>7172942.3399999999</v>
      </c>
      <c r="W29" s="20">
        <f>MSLB!AB18</f>
        <v>0</v>
      </c>
      <c r="X29" s="65">
        <f ca="1">MSLB!AC18</f>
        <v>0</v>
      </c>
      <c r="Y29" s="58">
        <f ca="1">MSLB!AD18</f>
        <v>7873.95000000039</v>
      </c>
      <c r="Z29" s="62"/>
    </row>
    <row r="30" spans="1:26" x14ac:dyDescent="0.25">
      <c r="A30" s="5">
        <v>27</v>
      </c>
      <c r="B30" s="84" t="s">
        <v>171</v>
      </c>
      <c r="C30" s="6" t="str">
        <f>VLOOKUP(Table242830891013141516232425323334353637[[#This Row],[SYMBOL]],Table2[[SYMBOL2]:[Sector ]],2,)</f>
        <v>Microfinance</v>
      </c>
      <c r="D30" s="9">
        <f ca="1">NMLBBL!F13</f>
        <v>1520</v>
      </c>
      <c r="E30" s="9">
        <f ca="1">NMLBBL!H13</f>
        <v>1064532</v>
      </c>
      <c r="F30" s="9">
        <f ca="1">NMLBBL!I13</f>
        <v>1520</v>
      </c>
      <c r="G30" s="9">
        <f ca="1">NMLBBL!K13</f>
        <v>1184112</v>
      </c>
      <c r="H30" s="9">
        <f ca="1">NMLBBL!M13</f>
        <v>0</v>
      </c>
      <c r="I30" s="9">
        <f ca="1">NMLBBL!N13</f>
        <v>0</v>
      </c>
      <c r="J30" s="9">
        <f ca="1">NMLBBL!O13</f>
        <v>0</v>
      </c>
      <c r="K30" s="51">
        <f ca="1">NMLBBL!P13</f>
        <v>119580</v>
      </c>
      <c r="M30" s="20">
        <f>NMLBBL!R13</f>
        <v>0</v>
      </c>
      <c r="N30" s="20">
        <f>NMLBBL!S13</f>
        <v>0</v>
      </c>
      <c r="O30" s="20">
        <f>NMLBBL!T13</f>
        <v>0</v>
      </c>
      <c r="P30" s="20">
        <f>NMLBBL!U13</f>
        <v>1223888.8</v>
      </c>
      <c r="Q30" s="20">
        <f>NMLBBL!V13</f>
        <v>3989.95</v>
      </c>
      <c r="R30" s="20">
        <f>NMLBBL!W13</f>
        <v>25</v>
      </c>
      <c r="S30" s="20">
        <f>NMLBBL!X13</f>
        <v>4014.95</v>
      </c>
      <c r="T30" s="20">
        <f>NMLBBL!Y13</f>
        <v>0</v>
      </c>
      <c r="U30" s="20">
        <f ca="1">NMLBBL!Z13</f>
        <v>1180097.05</v>
      </c>
      <c r="V30" s="20">
        <f>NMLBBL!AA13</f>
        <v>1223888.8</v>
      </c>
      <c r="W30" s="20">
        <f>NMLBBL!AB13</f>
        <v>0</v>
      </c>
      <c r="X30" s="65">
        <f ca="1">NMLBBL!AC13</f>
        <v>0</v>
      </c>
      <c r="Y30" s="58">
        <f ca="1">NMLBBL!AD13</f>
        <v>-43791.75</v>
      </c>
      <c r="Z30" s="62"/>
    </row>
    <row r="31" spans="1:26" x14ac:dyDescent="0.25">
      <c r="A31" s="5">
        <v>28</v>
      </c>
      <c r="B31" s="84" t="s">
        <v>166</v>
      </c>
      <c r="C31" s="6" t="str">
        <f>VLOOKUP(Table242830891013141516232425323334353637[[#This Row],[SYMBOL]],Table2[[SYMBOL2]:[Sector ]],2,)</f>
        <v>Microfinance</v>
      </c>
      <c r="D31" s="9">
        <f ca="1">DDBL!F17</f>
        <v>7012</v>
      </c>
      <c r="E31" s="9">
        <f ca="1">DDBL!H17</f>
        <v>6186337</v>
      </c>
      <c r="F31" s="9">
        <f ca="1">DDBL!I17</f>
        <v>7012</v>
      </c>
      <c r="G31" s="9">
        <f ca="1">DDBL!K17</f>
        <v>6746904</v>
      </c>
      <c r="H31" s="9">
        <f ca="1">DDBL!M17</f>
        <v>0</v>
      </c>
      <c r="I31" s="9">
        <f ca="1">DDBL!N17</f>
        <v>0</v>
      </c>
      <c r="J31" s="9">
        <f ca="1">DDBL!O17</f>
        <v>0</v>
      </c>
      <c r="K31" s="51">
        <f ca="1">DDBL!P17</f>
        <v>560567</v>
      </c>
      <c r="M31" s="20">
        <f>DDBL!R17</f>
        <v>0</v>
      </c>
      <c r="N31" s="20">
        <f>DDBL!S17</f>
        <v>0</v>
      </c>
      <c r="O31" s="20">
        <f>DDBL!T17</f>
        <v>0</v>
      </c>
      <c r="P31" s="20">
        <f>DDBL!U17</f>
        <v>6200992.0800000001</v>
      </c>
      <c r="Q31" s="20">
        <f>DDBL!V17</f>
        <v>22544.370000000003</v>
      </c>
      <c r="R31" s="20">
        <f>DDBL!W17</f>
        <v>100</v>
      </c>
      <c r="S31" s="20">
        <f>DDBL!X17</f>
        <v>22644.370000000003</v>
      </c>
      <c r="T31" s="20">
        <f>DDBL!Y17</f>
        <v>52326.77</v>
      </c>
      <c r="U31" s="20">
        <f ca="1">DDBL!Z17</f>
        <v>6671932.8600000013</v>
      </c>
      <c r="V31" s="20">
        <f>DDBL!AA17</f>
        <v>6200992.0800000001</v>
      </c>
      <c r="W31" s="20">
        <f>DDBL!AB17</f>
        <v>0</v>
      </c>
      <c r="X31" s="65">
        <f ca="1">DDBL!AC17</f>
        <v>0</v>
      </c>
      <c r="Y31" s="58">
        <f ca="1">DDBL!AD17</f>
        <v>523267.55000000086</v>
      </c>
      <c r="Z31" s="62"/>
    </row>
    <row r="32" spans="1:26" x14ac:dyDescent="0.25">
      <c r="A32" s="5">
        <v>29</v>
      </c>
      <c r="B32" s="6" t="s">
        <v>121</v>
      </c>
      <c r="C32" s="6" t="str">
        <f>VLOOKUP(Table242830891013141516232425323334353637[[#This Row],[SYMBOL]],Table2[[SYMBOL2]:[Sector ]],2,)</f>
        <v>Investment</v>
      </c>
      <c r="D32" s="9">
        <f ca="1">CHDC!F11</f>
        <v>544</v>
      </c>
      <c r="E32" s="9">
        <f ca="1">CHDC!H11</f>
        <v>1554007</v>
      </c>
      <c r="F32" s="9">
        <f ca="1">CHDC!I11</f>
        <v>0</v>
      </c>
      <c r="G32" s="9">
        <f ca="1">CHDC!K11</f>
        <v>0</v>
      </c>
      <c r="H32" s="9">
        <f ca="1">CHDC!M11</f>
        <v>1554007</v>
      </c>
      <c r="I32" s="9">
        <f ca="1">CHDC!N11</f>
        <v>544</v>
      </c>
      <c r="J32" s="9">
        <f ca="1">CHDC!O11</f>
        <v>2856.6305147058824</v>
      </c>
      <c r="K32" s="10">
        <f>CHDC!P11</f>
        <v>0</v>
      </c>
      <c r="M32" s="20">
        <f>CHDC!R11</f>
        <v>5261.95</v>
      </c>
      <c r="N32" s="20">
        <f>CHDC!S11</f>
        <v>75</v>
      </c>
      <c r="O32" s="20">
        <f>CHDC!T11</f>
        <v>5336.95</v>
      </c>
      <c r="P32" s="20">
        <f>CHDC!U11</f>
        <v>1559343.95</v>
      </c>
      <c r="Q32" s="20">
        <f>CHDC!V11</f>
        <v>0</v>
      </c>
      <c r="R32" s="20">
        <f>CHDC!W11</f>
        <v>0</v>
      </c>
      <c r="S32" s="20">
        <f>CHDC!X11</f>
        <v>0</v>
      </c>
      <c r="T32" s="20">
        <f>CHDC!Y11</f>
        <v>0</v>
      </c>
      <c r="U32" s="20">
        <f>CHDC!Z11</f>
        <v>0</v>
      </c>
      <c r="V32" s="20">
        <f>CHDC!AA11</f>
        <v>0</v>
      </c>
      <c r="W32" s="20">
        <f>CHDC!AB11</f>
        <v>1559343.95</v>
      </c>
      <c r="X32" s="65">
        <f ca="1">CHDC!AC11</f>
        <v>2866.4410845588236</v>
      </c>
      <c r="Y32" s="58">
        <f>CHDC!AD11</f>
        <v>0</v>
      </c>
      <c r="Z32" s="62"/>
    </row>
    <row r="33" spans="1:26" x14ac:dyDescent="0.25">
      <c r="A33" s="5">
        <v>30</v>
      </c>
      <c r="B33" s="84" t="s">
        <v>52</v>
      </c>
      <c r="C33" s="6" t="str">
        <f>VLOOKUP(Table242830891013141516232425323334353637[[#This Row],[SYMBOL]],Table2[[SYMBOL2]:[Sector ]],2,)</f>
        <v>Investment</v>
      </c>
      <c r="D33" s="9">
        <f ca="1">HATHY!F14</f>
        <v>4946</v>
      </c>
      <c r="E33" s="9">
        <f ca="1">HATHY!H14</f>
        <v>6346607.4400000004</v>
      </c>
      <c r="F33" s="9">
        <f ca="1">HATHY!I14</f>
        <v>1696</v>
      </c>
      <c r="G33" s="9">
        <f ca="1">HATHY!K14</f>
        <v>2203104</v>
      </c>
      <c r="H33" s="9">
        <f ca="1">HATHY!M14</f>
        <v>4277250</v>
      </c>
      <c r="I33" s="9">
        <f ca="1">HATHY!N14</f>
        <v>3250</v>
      </c>
      <c r="J33" s="9">
        <f ca="1">HATHY!O14</f>
        <v>1316.0769230769231</v>
      </c>
      <c r="K33" s="10">
        <f ca="1">HATHY!P14</f>
        <v>133746.55999999982</v>
      </c>
      <c r="M33" s="20">
        <f>HATHY!R14</f>
        <v>14228.09</v>
      </c>
      <c r="N33" s="20">
        <f>HATHY!S14</f>
        <v>125</v>
      </c>
      <c r="O33" s="20">
        <f>HATHY!T14</f>
        <v>14353.09</v>
      </c>
      <c r="P33" s="20">
        <f>HATHY!U14</f>
        <v>6418726.2899999991</v>
      </c>
      <c r="Q33" s="20">
        <f>HATHY!V14</f>
        <v>6278.85</v>
      </c>
      <c r="R33" s="20">
        <f>HATHY!W14</f>
        <v>25</v>
      </c>
      <c r="S33" s="20">
        <f>HATHY!X14</f>
        <v>6303.85</v>
      </c>
      <c r="T33" s="20">
        <f>HATHY!Y14</f>
        <v>6967.7</v>
      </c>
      <c r="U33" s="20">
        <f>HATHY!Z14</f>
        <v>2189832.4499999997</v>
      </c>
      <c r="V33" s="20">
        <f>HATHY!AA14</f>
        <v>2127123.2000000002</v>
      </c>
      <c r="W33" s="20">
        <f>HATHY!AB14</f>
        <v>4291603.0899999989</v>
      </c>
      <c r="X33" s="65">
        <f ca="1">HATHY!AC14</f>
        <v>1320.4932584615381</v>
      </c>
      <c r="Y33" s="58">
        <f>HATHY!AD14</f>
        <v>69676.949999999531</v>
      </c>
      <c r="Z33" s="62"/>
    </row>
    <row r="34" spans="1:26" x14ac:dyDescent="0.25">
      <c r="A34" s="5">
        <v>31</v>
      </c>
      <c r="B34" s="84" t="s">
        <v>60</v>
      </c>
      <c r="C34" s="6" t="str">
        <f>VLOOKUP(Table242830891013141516232425323334353637[[#This Row],[SYMBOL]],Table2[[SYMBOL2]:[Sector ]],2,)</f>
        <v>Investment</v>
      </c>
      <c r="D34" s="9">
        <f>HIDCL!F10</f>
        <v>1893</v>
      </c>
      <c r="E34" s="9">
        <f>HIDCL!H10</f>
        <v>553910.73</v>
      </c>
      <c r="F34" s="9">
        <f>HIDCL!I10</f>
        <v>1893</v>
      </c>
      <c r="G34" s="9">
        <f>HIDCL!K10</f>
        <v>594561</v>
      </c>
      <c r="H34" s="9">
        <f>HIDCL!M10</f>
        <v>0</v>
      </c>
      <c r="I34" s="9">
        <f>HIDCL!N10</f>
        <v>0</v>
      </c>
      <c r="J34" s="9">
        <f>HIDCL!O10</f>
        <v>0</v>
      </c>
      <c r="K34" s="10">
        <f>HIDCL!P10</f>
        <v>40650.270000000019</v>
      </c>
      <c r="M34" s="20">
        <f>HIDCL!R10</f>
        <v>0</v>
      </c>
      <c r="N34" s="20">
        <f>HIDCL!S10</f>
        <v>0</v>
      </c>
      <c r="O34" s="20">
        <f>HIDCL!T10</f>
        <v>0</v>
      </c>
      <c r="P34" s="20">
        <f>HIDCL!U10</f>
        <v>549133.23560001655</v>
      </c>
      <c r="Q34" s="20">
        <f>HIDCL!V10</f>
        <v>2082.4699999999998</v>
      </c>
      <c r="R34" s="20">
        <f>HIDCL!W10</f>
        <v>50</v>
      </c>
      <c r="S34" s="20">
        <f>HIDCL!X10</f>
        <v>2132.4699999999998</v>
      </c>
      <c r="T34" s="20">
        <f>HIDCL!Y10</f>
        <v>4329.59</v>
      </c>
      <c r="U34" s="20">
        <f>HIDCL!Z10</f>
        <v>588098.94000000006</v>
      </c>
      <c r="V34" s="20">
        <f>HIDCL!AA10</f>
        <v>549133.23560001655</v>
      </c>
      <c r="W34" s="20">
        <f>HIDCL!AB10</f>
        <v>0</v>
      </c>
      <c r="X34" s="65">
        <f>HIDCL!AC10</f>
        <v>0</v>
      </c>
      <c r="Y34" s="58">
        <f>HIDCL!AD10</f>
        <v>43295.294399983453</v>
      </c>
      <c r="Z34" s="62"/>
    </row>
    <row r="35" spans="1:26" x14ac:dyDescent="0.25">
      <c r="A35" s="5">
        <v>32</v>
      </c>
      <c r="B35" s="84" t="s">
        <v>81</v>
      </c>
      <c r="C35" s="6" t="str">
        <f>VLOOKUP(Table242830891013141516232425323334353637[[#This Row],[SYMBOL]],Table2[[SYMBOL2]:[Sector ]],2,)</f>
        <v>Hydro Power</v>
      </c>
      <c r="D35" s="9">
        <f ca="1">SMHL!F12</f>
        <v>1940</v>
      </c>
      <c r="E35" s="9">
        <f ca="1">SMHL!H12</f>
        <v>2150257.2000000002</v>
      </c>
      <c r="F35" s="9">
        <f ca="1">SMHL!I12</f>
        <v>1940</v>
      </c>
      <c r="G35" s="9">
        <f>SMHL!K12</f>
        <v>2102370</v>
      </c>
      <c r="H35" s="9">
        <f>SMHL!M12</f>
        <v>0</v>
      </c>
      <c r="I35" s="9">
        <f ca="1">SMHL!N12</f>
        <v>0</v>
      </c>
      <c r="J35" s="9">
        <f>SMHL!O12</f>
        <v>0</v>
      </c>
      <c r="K35" s="51">
        <f ca="1">SMHL!P12</f>
        <v>-47887.200000000259</v>
      </c>
      <c r="M35" s="20">
        <f>SMHL!R12</f>
        <v>0</v>
      </c>
      <c r="N35" s="20">
        <f>SMHL!S12</f>
        <v>0</v>
      </c>
      <c r="O35" s="20">
        <f>SMHL!T12</f>
        <v>0</v>
      </c>
      <c r="P35" s="20">
        <f ca="1">SMHL!U12</f>
        <v>2060435.2</v>
      </c>
      <c r="Q35" s="20">
        <f ca="1">SMHL!V12</f>
        <v>6886.96</v>
      </c>
      <c r="R35" s="20">
        <f ca="1">SMHL!W12</f>
        <v>100</v>
      </c>
      <c r="S35" s="20">
        <f ca="1">SMHL!X12</f>
        <v>6986.96</v>
      </c>
      <c r="T35" s="20">
        <f ca="1">SMHL!Y12</f>
        <v>3494.58</v>
      </c>
      <c r="U35" s="20">
        <f>SMHL!Z12</f>
        <v>2091888.46</v>
      </c>
      <c r="V35" s="20">
        <f ca="1">SMHL!AA12</f>
        <v>2060435.2</v>
      </c>
      <c r="W35" s="20">
        <f ca="1">SMHL!AB12</f>
        <v>0</v>
      </c>
      <c r="X35" s="65">
        <f ca="1">SMHL!AC12</f>
        <v>0</v>
      </c>
      <c r="Y35" s="58">
        <f ca="1">SMHL!AD12</f>
        <v>34947.839999999895</v>
      </c>
      <c r="Z35" s="62"/>
    </row>
    <row r="36" spans="1:26" x14ac:dyDescent="0.25">
      <c r="A36" s="5"/>
      <c r="B36" s="84" t="s">
        <v>852</v>
      </c>
      <c r="C36" s="6" t="str">
        <f>VLOOKUP(Table242830891013141516232425323334353637[[#This Row],[SYMBOL]],Table2[[SYMBOL2]:[Sector ]],2,)</f>
        <v>Hydro Power</v>
      </c>
      <c r="D36" s="9">
        <f ca="1">TVCL!F17</f>
        <v>11172</v>
      </c>
      <c r="E36" s="9">
        <f ca="1">TVCL!H17</f>
        <v>5537290.0800000001</v>
      </c>
      <c r="F36" s="9">
        <f ca="1">TVCL!I17</f>
        <v>0</v>
      </c>
      <c r="G36" s="9">
        <f>TVCL!K17</f>
        <v>0</v>
      </c>
      <c r="H36" s="9">
        <f ca="1">TVCL!M17</f>
        <v>5537290.0800000001</v>
      </c>
      <c r="I36" s="9">
        <f ca="1">TVCL!N17</f>
        <v>11172</v>
      </c>
      <c r="J36" s="9">
        <f ca="1">TVCL!O17</f>
        <v>495.64</v>
      </c>
      <c r="K36" s="51">
        <f ca="1">TVCL!P17</f>
        <v>0</v>
      </c>
      <c r="M36" s="20">
        <f>TVCL!R17</f>
        <v>0</v>
      </c>
      <c r="N36" s="20">
        <f>TVCL!S17</f>
        <v>0</v>
      </c>
      <c r="O36" s="20">
        <f>TVCL!T17</f>
        <v>0</v>
      </c>
      <c r="P36" s="20">
        <f>TVCL!U17</f>
        <v>120957.0096</v>
      </c>
      <c r="Q36" s="20">
        <f>TVCL!V17</f>
        <v>0</v>
      </c>
      <c r="R36" s="20">
        <f>TVCL!W17</f>
        <v>0</v>
      </c>
      <c r="S36" s="20">
        <f>TVCL!X17</f>
        <v>0</v>
      </c>
      <c r="T36" s="20">
        <f>TVCL!Y17</f>
        <v>0</v>
      </c>
      <c r="U36" s="20">
        <f ca="1">TVCL!Z17</f>
        <v>0</v>
      </c>
      <c r="V36" s="20">
        <f>TVCL!AA17</f>
        <v>0</v>
      </c>
      <c r="W36" s="20">
        <f>TVCL!AB17</f>
        <v>120957.0096</v>
      </c>
      <c r="X36" s="65">
        <f ca="1">TVCL!AC17</f>
        <v>10.8268</v>
      </c>
      <c r="Y36" s="58">
        <f ca="1">TVCL!AD17</f>
        <v>568.86369999999999</v>
      </c>
      <c r="Z36" s="62"/>
    </row>
    <row r="37" spans="1:26" x14ac:dyDescent="0.25">
      <c r="A37" s="5">
        <v>33</v>
      </c>
      <c r="B37" s="84" t="s">
        <v>554</v>
      </c>
      <c r="C37" s="6" t="str">
        <f>VLOOKUP(Table242830891013141516232425323334353637[[#This Row],[SYMBOL]],Table2[[SYMBOL2]:[Sector ]],2,)</f>
        <v>Non Life Insurance</v>
      </c>
      <c r="D37" s="9">
        <f ca="1">SGIC!F11</f>
        <v>8461</v>
      </c>
      <c r="E37" s="9">
        <f ca="1">SGIC!H11</f>
        <v>5161125.3899999997</v>
      </c>
      <c r="F37" s="9">
        <f ca="1">SGIC!I11</f>
        <v>0</v>
      </c>
      <c r="G37" s="9">
        <f ca="1">SGIC!K11</f>
        <v>0</v>
      </c>
      <c r="H37" s="9">
        <f ca="1">SGIC!M11</f>
        <v>5161125.3899999997</v>
      </c>
      <c r="I37" s="9">
        <f ca="1">SGIC!N11</f>
        <v>8461</v>
      </c>
      <c r="J37" s="9">
        <f ca="1">SGIC!O11</f>
        <v>609.99</v>
      </c>
      <c r="K37" s="51">
        <f ca="1">SGIC!P11</f>
        <v>0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65"/>
      <c r="Y37" s="58"/>
      <c r="Z37" s="62"/>
    </row>
    <row r="38" spans="1:26" x14ac:dyDescent="0.25">
      <c r="A38" s="5">
        <v>34</v>
      </c>
      <c r="B38" s="84" t="s">
        <v>80</v>
      </c>
      <c r="C38" s="6" t="str">
        <f>VLOOKUP(Table242830891013141516232425323334353637[[#This Row],[SYMBOL]],Table2[[SYMBOL2]:[Sector ]],2,)</f>
        <v>Others</v>
      </c>
      <c r="D38" s="9">
        <f ca="1">HRL!F9</f>
        <v>148</v>
      </c>
      <c r="E38" s="9">
        <f ca="1">HRL!H9</f>
        <v>136571.44</v>
      </c>
      <c r="F38" s="9">
        <f ca="1">HRL!I9</f>
        <v>65</v>
      </c>
      <c r="G38" s="9">
        <f>HRL!K9</f>
        <v>62003.5</v>
      </c>
      <c r="H38" s="9">
        <f ca="1">HRL!M9</f>
        <v>76590.740000000005</v>
      </c>
      <c r="I38" s="9">
        <f ca="1">HRL!N9</f>
        <v>83</v>
      </c>
      <c r="J38" s="9">
        <f ca="1">HRL!O9</f>
        <v>922.78000000000009</v>
      </c>
      <c r="K38" s="10">
        <f ca="1">HRL!P9</f>
        <v>2022.8000000000029</v>
      </c>
      <c r="M38" s="20">
        <f>HRL!R9</f>
        <v>0</v>
      </c>
      <c r="N38" s="20">
        <f>HRL!S9</f>
        <v>0</v>
      </c>
      <c r="O38" s="20">
        <f>HRL!T9</f>
        <v>0</v>
      </c>
      <c r="P38" s="20">
        <f>HRL!U9</f>
        <v>136894.08000000002</v>
      </c>
      <c r="Q38" s="20">
        <f>HRL!V9</f>
        <v>213.91000000000003</v>
      </c>
      <c r="R38" s="20">
        <f>HRL!W9</f>
        <v>25</v>
      </c>
      <c r="S38" s="20">
        <f>HRL!X9</f>
        <v>238.91000000000003</v>
      </c>
      <c r="T38" s="20">
        <f>HRL!Y9</f>
        <v>164.22</v>
      </c>
      <c r="U38" s="20">
        <f>HRL!Z9</f>
        <v>61600.369999999995</v>
      </c>
      <c r="V38" s="20">
        <f>HRL!AA9</f>
        <v>60122.400000000001</v>
      </c>
      <c r="W38" s="20">
        <f>HRL!AB9</f>
        <v>76771.680000000022</v>
      </c>
      <c r="X38" s="65">
        <f ca="1">HRL!AC9</f>
        <v>83.196081406185669</v>
      </c>
      <c r="Y38" s="58">
        <f>HRL!AD9</f>
        <v>1642.1899999999939</v>
      </c>
      <c r="Z38" s="62"/>
    </row>
    <row r="39" spans="1:26" ht="30" x14ac:dyDescent="0.25">
      <c r="A39" s="5">
        <v>35</v>
      </c>
      <c r="B39" s="84" t="s">
        <v>526</v>
      </c>
      <c r="C39" s="6" t="str">
        <f>VLOOKUP(Table242830891013141516232425323334353637[[#This Row],[SYMBOL]],Table2[[SYMBOL2]:[Sector ]],2,)</f>
        <v>Corporate Debenture</v>
      </c>
      <c r="D39" s="9">
        <f ca="1">GWFD83!F17</f>
        <v>458</v>
      </c>
      <c r="E39" s="9">
        <f ca="1">GWFD83!H17</f>
        <v>572454.20000000007</v>
      </c>
      <c r="F39" s="9">
        <f ca="1">GWFD83!I17</f>
        <v>0</v>
      </c>
      <c r="G39" s="9">
        <f>GWFD83!K17</f>
        <v>0</v>
      </c>
      <c r="H39" s="9">
        <f ca="1">GWFD83!M17</f>
        <v>572454.20000000007</v>
      </c>
      <c r="I39" s="9">
        <f ca="1">GWFD83!N17</f>
        <v>458</v>
      </c>
      <c r="J39" s="9">
        <f ca="1">GWFD83!O17</f>
        <v>1249.9000000000001</v>
      </c>
      <c r="K39" s="10">
        <f ca="1">GWFD83!P17</f>
        <v>0</v>
      </c>
      <c r="M39" s="20">
        <f>GWFD83!R17</f>
        <v>0</v>
      </c>
      <c r="N39" s="20">
        <f>GWFD83!S17</f>
        <v>0</v>
      </c>
      <c r="O39" s="20">
        <f>GWFD83!T17</f>
        <v>0</v>
      </c>
      <c r="P39" s="20">
        <f>GWFD83!U17</f>
        <v>478014.32519999996</v>
      </c>
      <c r="Q39" s="20">
        <f>GWFD83!V17</f>
        <v>0</v>
      </c>
      <c r="R39" s="20">
        <f>GWFD83!W17</f>
        <v>0</v>
      </c>
      <c r="S39" s="20">
        <f>GWFD83!X17</f>
        <v>0</v>
      </c>
      <c r="T39" s="20">
        <f>GWFD83!Y17</f>
        <v>0</v>
      </c>
      <c r="U39" s="20">
        <f ca="1">GWFD83!Z17</f>
        <v>0</v>
      </c>
      <c r="V39" s="20">
        <f>GWFD83!AA17</f>
        <v>0</v>
      </c>
      <c r="W39" s="20">
        <f>GWFD83!AB17</f>
        <v>478014.32519999996</v>
      </c>
      <c r="X39" s="20">
        <f ca="1">GWFD83!AC17</f>
        <v>1043.6994</v>
      </c>
      <c r="Y39" s="58">
        <f ca="1">GWFD83!AD17</f>
        <v>0</v>
      </c>
      <c r="Z39" s="62"/>
    </row>
    <row r="40" spans="1:26" ht="30" x14ac:dyDescent="0.25">
      <c r="A40" s="5">
        <v>36</v>
      </c>
      <c r="B40" s="84" t="s">
        <v>685</v>
      </c>
      <c r="C40" s="6" t="str">
        <f>VLOOKUP(Table242830891013141516232425323334353637[[#This Row],[SYMBOL]],Table2[[SYMBOL2]:[Sector ]],2,)</f>
        <v>Corporate Debenture</v>
      </c>
      <c r="D40" s="9">
        <f ca="1">CCBD88!F17</f>
        <v>50</v>
      </c>
      <c r="E40" s="9">
        <f ca="1">CCBD88!H17</f>
        <v>60945.000000000007</v>
      </c>
      <c r="F40" s="9">
        <f ca="1">CCBD88!I17</f>
        <v>0</v>
      </c>
      <c r="G40" s="9">
        <f>CCBD88!K17</f>
        <v>0</v>
      </c>
      <c r="H40" s="9">
        <f ca="1">CCBD88!M17</f>
        <v>60945.000000000007</v>
      </c>
      <c r="I40" s="9">
        <f ca="1">CCBD88!N17</f>
        <v>50</v>
      </c>
      <c r="J40" s="9">
        <f ca="1">CCBD88!O17</f>
        <v>1218.9000000000001</v>
      </c>
      <c r="K40" s="10">
        <f ca="1">CCBD88!P17</f>
        <v>0</v>
      </c>
      <c r="M40" s="20">
        <f>CCBD88!R17</f>
        <v>0</v>
      </c>
      <c r="N40" s="20">
        <f>CCBD88!S17</f>
        <v>0</v>
      </c>
      <c r="O40" s="20">
        <f>CCBD88!T17</f>
        <v>0</v>
      </c>
      <c r="P40" s="20">
        <f>CCBD88!U17</f>
        <v>52385.005000000005</v>
      </c>
      <c r="Q40" s="20">
        <f>CCBD88!V17</f>
        <v>0</v>
      </c>
      <c r="R40" s="20">
        <f>CCBD88!W17</f>
        <v>0</v>
      </c>
      <c r="S40" s="20">
        <f>CCBD88!X17</f>
        <v>0</v>
      </c>
      <c r="T40" s="20">
        <f>CCBD88!Y17</f>
        <v>0</v>
      </c>
      <c r="U40" s="20">
        <f ca="1">CCBD88!Z17</f>
        <v>0</v>
      </c>
      <c r="V40" s="20">
        <f>CCBD88!AA17</f>
        <v>0</v>
      </c>
      <c r="W40" s="20">
        <f>CCBD88!AB17</f>
        <v>52385.005000000005</v>
      </c>
      <c r="X40" s="65">
        <f ca="1">CCBD88!AC17</f>
        <v>1047.7001</v>
      </c>
      <c r="Y40" s="80">
        <f ca="1">CCBD88!AD17</f>
        <v>0</v>
      </c>
      <c r="Z40" s="62"/>
    </row>
    <row r="41" spans="1:26" ht="30" x14ac:dyDescent="0.25">
      <c r="A41" s="5">
        <v>37</v>
      </c>
      <c r="B41" s="84" t="s">
        <v>672</v>
      </c>
      <c r="C41" s="6" t="str">
        <f>VLOOKUP(Table242830891013141516232425323334353637[[#This Row],[SYMBOL]],Table2[[SYMBOL2]:[Sector ]],2,)</f>
        <v>Corporate Debenture</v>
      </c>
      <c r="D41" s="9">
        <f ca="1">CBLD88!F17</f>
        <v>201</v>
      </c>
      <c r="E41" s="9">
        <f ca="1">CBLD88!H17</f>
        <v>242205</v>
      </c>
      <c r="F41" s="9">
        <f ca="1">CBLD88!I17</f>
        <v>0</v>
      </c>
      <c r="G41" s="9">
        <f>CBLD88!K17</f>
        <v>0</v>
      </c>
      <c r="H41" s="9">
        <f ca="1">CBLD88!M17</f>
        <v>242205</v>
      </c>
      <c r="I41" s="9">
        <f ca="1">CBLD88!N17</f>
        <v>201</v>
      </c>
      <c r="J41" s="9">
        <f ca="1">CBLD88!O17</f>
        <v>1205</v>
      </c>
      <c r="K41" s="10">
        <f ca="1">CBLD88!P17</f>
        <v>0</v>
      </c>
      <c r="M41" s="20">
        <f>CBLD88!R17</f>
        <v>0</v>
      </c>
      <c r="N41" s="20">
        <f>CBLD88!S17</f>
        <v>0</v>
      </c>
      <c r="O41" s="20">
        <f>CBLD88!T17</f>
        <v>0</v>
      </c>
      <c r="P41" s="20">
        <f>CBLD88!U17</f>
        <v>213398.18249999997</v>
      </c>
      <c r="Q41" s="20">
        <f>CBLD88!V17</f>
        <v>0</v>
      </c>
      <c r="R41" s="20">
        <f>CBLD88!W17</f>
        <v>0</v>
      </c>
      <c r="S41" s="20">
        <f>CBLD88!X17</f>
        <v>0</v>
      </c>
      <c r="T41" s="20">
        <f>CBLD88!Y17</f>
        <v>0</v>
      </c>
      <c r="U41" s="20">
        <f ca="1">CBLD88!Z17</f>
        <v>0</v>
      </c>
      <c r="V41" s="20">
        <f>CBLD88!AA17</f>
        <v>0</v>
      </c>
      <c r="W41" s="20">
        <f>CBLD88!AB17</f>
        <v>213398.18249999997</v>
      </c>
      <c r="X41" s="65">
        <f ca="1">CBLD88!AC17</f>
        <v>1061.6824999999999</v>
      </c>
      <c r="Y41" s="80">
        <f ca="1">CBLD88!AD17</f>
        <v>0</v>
      </c>
      <c r="Z41" s="62"/>
    </row>
    <row r="42" spans="1:26" ht="30" x14ac:dyDescent="0.25">
      <c r="A42" s="5">
        <v>38</v>
      </c>
      <c r="B42" s="84" t="s">
        <v>697</v>
      </c>
      <c r="C42" s="6" t="str">
        <f>VLOOKUP(Table242830891013141516232425323334353637[[#This Row],[SYMBOL]],Table2[[SYMBOL2]:[Sector ]],2,)</f>
        <v>Corporate Debenture</v>
      </c>
      <c r="D42" s="9">
        <f ca="1">'PBD88'!F17</f>
        <v>10030</v>
      </c>
      <c r="E42" s="9">
        <f ca="1">'PBD88'!H17</f>
        <v>12046030</v>
      </c>
      <c r="F42" s="9">
        <f ca="1">'PBD88'!I17</f>
        <v>0</v>
      </c>
      <c r="G42" s="9">
        <f>'PBD88'!K17</f>
        <v>0</v>
      </c>
      <c r="H42" s="9">
        <f ca="1">'PBD88'!M17</f>
        <v>12046030</v>
      </c>
      <c r="I42" s="9">
        <f ca="1">'PBD88'!N17</f>
        <v>10030</v>
      </c>
      <c r="J42" s="42">
        <f ca="1">'PBD88'!O17</f>
        <v>1201</v>
      </c>
      <c r="K42" s="10">
        <f ca="1">'PBD88'!P17</f>
        <v>0</v>
      </c>
      <c r="M42" s="20">
        <f>'PBD88'!R17</f>
        <v>0</v>
      </c>
      <c r="N42" s="20">
        <f>'PBD88'!S17</f>
        <v>0</v>
      </c>
      <c r="O42" s="20">
        <f>'PBD88'!T17</f>
        <v>0</v>
      </c>
      <c r="P42" s="20">
        <f>'PBD88'!U17</f>
        <v>9640250.2479999997</v>
      </c>
      <c r="Q42" s="20">
        <f>'PBD88'!V17</f>
        <v>0</v>
      </c>
      <c r="R42" s="20">
        <f>'PBD88'!W17</f>
        <v>0</v>
      </c>
      <c r="S42" s="20">
        <f>'PBD88'!X17</f>
        <v>0</v>
      </c>
      <c r="T42" s="20">
        <f>'PBD88'!Y17</f>
        <v>0</v>
      </c>
      <c r="U42" s="20">
        <f ca="1">'PBD88'!Z17</f>
        <v>0</v>
      </c>
      <c r="V42" s="20">
        <f>'PBD88'!AA17</f>
        <v>0</v>
      </c>
      <c r="W42" s="20">
        <f>'PBD88'!AB17</f>
        <v>9640250.2479999997</v>
      </c>
      <c r="X42" s="65">
        <f ca="1">'PBD88'!AC17</f>
        <v>961.14159999999993</v>
      </c>
      <c r="Y42" s="80">
        <f ca="1">'PBD88'!AD17</f>
        <v>0</v>
      </c>
      <c r="Z42" s="62"/>
    </row>
    <row r="43" spans="1:26" ht="30" x14ac:dyDescent="0.25">
      <c r="A43" s="5">
        <v>39</v>
      </c>
      <c r="B43" s="84" t="s">
        <v>634</v>
      </c>
      <c r="C43" s="6" t="str">
        <f>VLOOKUP(Table242830891013141516232425323334353637[[#This Row],[SYMBOL]],Table2[[SYMBOL2]:[Sector ]],2,)</f>
        <v>Corporate Debenture</v>
      </c>
      <c r="D43" s="9">
        <f ca="1">GBILD86_87!F17</f>
        <v>105</v>
      </c>
      <c r="E43" s="9">
        <f ca="1">GBILD86_87!H17</f>
        <v>113400</v>
      </c>
      <c r="F43" s="9">
        <f ca="1">GBILD86_87!I17</f>
        <v>0</v>
      </c>
      <c r="G43" s="9">
        <f>GBILD86_87!K17</f>
        <v>0</v>
      </c>
      <c r="H43" s="9">
        <f ca="1">GBILD86_87!M17</f>
        <v>113400</v>
      </c>
      <c r="I43" s="9">
        <f ca="1">GBILD86_87!N17</f>
        <v>105</v>
      </c>
      <c r="J43" s="42">
        <f ca="1">GBILD86_87!O17</f>
        <v>1080</v>
      </c>
      <c r="K43" s="10">
        <f ca="1">GBILD86_87!P17</f>
        <v>0</v>
      </c>
      <c r="M43" s="20">
        <f>GBILD86_87!R17</f>
        <v>0</v>
      </c>
      <c r="N43" s="20">
        <f>GBILD86_87!S17</f>
        <v>0</v>
      </c>
      <c r="O43" s="20">
        <f>GBILD86_87!T17</f>
        <v>0</v>
      </c>
      <c r="P43" s="20">
        <f>GBILD86_87!U17</f>
        <v>108268.91249999999</v>
      </c>
      <c r="Q43" s="20">
        <f>GBILD86_87!V17</f>
        <v>0</v>
      </c>
      <c r="R43" s="20">
        <f>GBILD86_87!W17</f>
        <v>0</v>
      </c>
      <c r="S43" s="20">
        <f>GBILD86_87!X17</f>
        <v>0</v>
      </c>
      <c r="T43" s="20">
        <f>GBILD86_87!Y17</f>
        <v>0</v>
      </c>
      <c r="U43" s="20">
        <f ca="1">GBILD86_87!Z17</f>
        <v>0</v>
      </c>
      <c r="V43" s="20">
        <f>GBILD86_87!AA17</f>
        <v>0</v>
      </c>
      <c r="W43" s="20">
        <f>GBILD86_87!AB17</f>
        <v>108268.91249999999</v>
      </c>
      <c r="X43" s="65">
        <f ca="1">GBILD86_87!AC17</f>
        <v>1031.1324999999999</v>
      </c>
      <c r="Y43" s="80">
        <f ca="1">GBILD86_87!AD17</f>
        <v>0</v>
      </c>
      <c r="Z43" s="62"/>
    </row>
    <row r="44" spans="1:26" ht="30" x14ac:dyDescent="0.25">
      <c r="A44" s="5">
        <v>40</v>
      </c>
      <c r="B44" s="84" t="s">
        <v>609</v>
      </c>
      <c r="C44" s="6" t="str">
        <f>VLOOKUP(Table242830891013141516232425323334353637[[#This Row],[SYMBOL]],Table2[[SYMBOL2]:[Sector ]],2,)</f>
        <v>Corporate Debenture</v>
      </c>
      <c r="D44" s="9">
        <f ca="1">NMBD87_88!F17</f>
        <v>25</v>
      </c>
      <c r="E44" s="9">
        <f ca="1">NMBD87_88!H17</f>
        <v>27425</v>
      </c>
      <c r="F44" s="9">
        <f ca="1">NMBD87_88!I17</f>
        <v>0</v>
      </c>
      <c r="G44" s="9">
        <f>NMBD87_88!K17</f>
        <v>0</v>
      </c>
      <c r="H44" s="9">
        <f ca="1">NMBD87_88!M17</f>
        <v>27425</v>
      </c>
      <c r="I44" s="9">
        <f ca="1">NMBD87_88!N17</f>
        <v>25</v>
      </c>
      <c r="J44" s="42">
        <f ca="1">NMBD87_88!O17</f>
        <v>1097</v>
      </c>
      <c r="K44" s="10">
        <f ca="1">NMBD87_88!P17</f>
        <v>0</v>
      </c>
      <c r="M44" s="20">
        <f>NMBD87_88!R17</f>
        <v>0</v>
      </c>
      <c r="N44" s="20">
        <f>NMBD87_88!S17</f>
        <v>0</v>
      </c>
      <c r="O44" s="20">
        <f>NMBD87_88!T17</f>
        <v>0</v>
      </c>
      <c r="P44" s="20">
        <f>NMBD87_88!U17</f>
        <v>25803.325000000001</v>
      </c>
      <c r="Q44" s="20">
        <f>NMBD87_88!V17</f>
        <v>0</v>
      </c>
      <c r="R44" s="20">
        <f>NMBD87_88!W17</f>
        <v>0</v>
      </c>
      <c r="S44" s="20">
        <f>NMBD87_88!X17</f>
        <v>0</v>
      </c>
      <c r="T44" s="20">
        <f>NMBD87_88!Y17</f>
        <v>0</v>
      </c>
      <c r="U44" s="20">
        <f ca="1">NMBD87_88!Z17</f>
        <v>0</v>
      </c>
      <c r="V44" s="20">
        <f>NMBD87_88!AA17</f>
        <v>0</v>
      </c>
      <c r="W44" s="20">
        <f>NMBD87_88!AB17</f>
        <v>25803.325000000001</v>
      </c>
      <c r="X44" s="65">
        <f ca="1">NMBD87_88!AC17</f>
        <v>1032.133</v>
      </c>
      <c r="Y44" s="80">
        <f ca="1">NMBD87_88!AD17</f>
        <v>0</v>
      </c>
      <c r="Z44" s="62"/>
    </row>
    <row r="45" spans="1:26" ht="30" x14ac:dyDescent="0.25">
      <c r="A45" s="5">
        <v>41</v>
      </c>
      <c r="B45" s="84" t="s">
        <v>556</v>
      </c>
      <c r="C45" s="6" t="str">
        <f>VLOOKUP(Table242830891013141516232425323334353637[[#This Row],[SYMBOL]],Table2[[SYMBOL2]:[Sector ]],2,)</f>
        <v>Corporate Debenture</v>
      </c>
      <c r="D45" s="9">
        <f ca="1">SBLD84!F17</f>
        <v>96</v>
      </c>
      <c r="E45" s="9">
        <f ca="1">SBLD84!H17</f>
        <v>105840</v>
      </c>
      <c r="F45" s="9">
        <f ca="1">SBLD84!I17</f>
        <v>0</v>
      </c>
      <c r="G45" s="9">
        <f>SBLD84!K17</f>
        <v>0</v>
      </c>
      <c r="H45" s="9">
        <f ca="1">SBLD84!M17</f>
        <v>105840</v>
      </c>
      <c r="I45" s="9">
        <f ca="1">SBLD84!N17</f>
        <v>96</v>
      </c>
      <c r="J45" s="42">
        <f ca="1">SBLD84!O17</f>
        <v>1102.5</v>
      </c>
      <c r="K45" s="10">
        <f ca="1">SBLD84!P17</f>
        <v>0</v>
      </c>
      <c r="M45" s="20">
        <f>SBLD84!R17</f>
        <v>0</v>
      </c>
      <c r="N45" s="20">
        <f>SBLD84!S17</f>
        <v>0</v>
      </c>
      <c r="O45" s="20">
        <f>SBLD84!T17</f>
        <v>0</v>
      </c>
      <c r="P45" s="20">
        <f>SBLD84!U17</f>
        <v>98807.817600000009</v>
      </c>
      <c r="Q45" s="20">
        <f>SBLD84!V17</f>
        <v>0</v>
      </c>
      <c r="R45" s="20">
        <f>SBLD84!W17</f>
        <v>0</v>
      </c>
      <c r="S45" s="20">
        <f>SBLD84!X17</f>
        <v>0</v>
      </c>
      <c r="T45" s="20">
        <f>SBLD84!Y17</f>
        <v>0</v>
      </c>
      <c r="U45" s="20">
        <f ca="1">SBLD84!Z17</f>
        <v>0</v>
      </c>
      <c r="V45" s="20">
        <f>SBLD84!AA17</f>
        <v>0</v>
      </c>
      <c r="W45" s="20">
        <f>SBLD84!AB17</f>
        <v>98807.817600000009</v>
      </c>
      <c r="X45" s="65">
        <f ca="1">SBLD84!AC17</f>
        <v>1029.2481</v>
      </c>
      <c r="Y45" s="80">
        <f ca="1">SBLD84!AD17</f>
        <v>0</v>
      </c>
      <c r="Z45" s="62"/>
    </row>
    <row r="46" spans="1:26" ht="30" x14ac:dyDescent="0.25">
      <c r="A46" s="5">
        <v>42</v>
      </c>
      <c r="B46" s="84" t="s">
        <v>576</v>
      </c>
      <c r="C46" s="6" t="str">
        <f>VLOOKUP(Table242830891013141516232425323334353637[[#This Row],[SYMBOL]],Table2[[SYMBOL2]:[Sector ]],2,)</f>
        <v>Corporate Debenture</v>
      </c>
      <c r="D46" s="9">
        <f ca="1">NIBD84!F17</f>
        <v>25</v>
      </c>
      <c r="E46" s="9">
        <f ca="1">NIBD84!H17</f>
        <v>26050</v>
      </c>
      <c r="F46" s="9">
        <f ca="1">NIBD84!I17</f>
        <v>0</v>
      </c>
      <c r="G46" s="9">
        <f>NIBD84!K17</f>
        <v>0</v>
      </c>
      <c r="H46" s="9">
        <f ca="1">NIBD84!M17</f>
        <v>26050</v>
      </c>
      <c r="I46" s="9">
        <f ca="1">NIBD84!N17</f>
        <v>25</v>
      </c>
      <c r="J46" s="9">
        <f ca="1">NIBD84!O17</f>
        <v>1042</v>
      </c>
      <c r="K46" s="10">
        <f ca="1">NIBD84!P17</f>
        <v>0</v>
      </c>
      <c r="M46" s="20">
        <f>NIBD84!R17</f>
        <v>0</v>
      </c>
      <c r="N46" s="20">
        <f>NIBD84!S17</f>
        <v>0</v>
      </c>
      <c r="O46" s="20">
        <f>NIBD84!T17</f>
        <v>0</v>
      </c>
      <c r="P46" s="20">
        <f>NIBD84!U17</f>
        <v>25840.6875</v>
      </c>
      <c r="Q46" s="20">
        <f>NIBD84!V17</f>
        <v>0</v>
      </c>
      <c r="R46" s="20">
        <f>NIBD84!W17</f>
        <v>0</v>
      </c>
      <c r="S46" s="20">
        <f>NIBD84!X17</f>
        <v>0</v>
      </c>
      <c r="T46" s="20">
        <f>NIBD84!Y17</f>
        <v>0</v>
      </c>
      <c r="U46" s="20">
        <f ca="1">NIBD84!Z17</f>
        <v>0</v>
      </c>
      <c r="V46" s="20">
        <f>NIBD84!AA17</f>
        <v>0</v>
      </c>
      <c r="W46" s="20">
        <f>NIBD84!AB17</f>
        <v>25840.6875</v>
      </c>
      <c r="X46" s="65">
        <f ca="1">NIBD84!AC17</f>
        <v>1033.6275000000001</v>
      </c>
      <c r="Y46" s="80">
        <f ca="1">NIBD84!AD17</f>
        <v>0</v>
      </c>
      <c r="Z46" s="62"/>
    </row>
    <row r="47" spans="1:26" x14ac:dyDescent="0.25">
      <c r="A47" s="5">
        <v>43</v>
      </c>
      <c r="B47" s="84" t="s">
        <v>580</v>
      </c>
      <c r="C47" s="6" t="str">
        <f>VLOOKUP(Table242830891013141516232425323334353637[[#This Row],[SYMBOL]],Table2[[SYMBOL2]:[Sector ]],2,)</f>
        <v>Mutual Fund</v>
      </c>
      <c r="D47" s="9">
        <f ca="1">KEF!F17</f>
        <v>2000</v>
      </c>
      <c r="E47" s="9">
        <f ca="1">KEF!H17</f>
        <v>19900</v>
      </c>
      <c r="F47" s="9">
        <f ca="1">KEF!I17</f>
        <v>0</v>
      </c>
      <c r="G47" s="9">
        <f>KEF!K17</f>
        <v>0</v>
      </c>
      <c r="H47" s="9">
        <f ca="1">KEF!M17</f>
        <v>19900</v>
      </c>
      <c r="I47" s="9">
        <f ca="1">KEF!N17</f>
        <v>2000</v>
      </c>
      <c r="J47" s="9">
        <f ca="1">KEF!O17</f>
        <v>9.9499999999999993</v>
      </c>
      <c r="K47" s="10">
        <f ca="1">KEF!P17</f>
        <v>0</v>
      </c>
      <c r="M47" s="20">
        <f>KEF!R17</f>
        <v>0</v>
      </c>
      <c r="N47" s="20">
        <f>KEF!S17</f>
        <v>0</v>
      </c>
      <c r="O47" s="20">
        <f>KEF!T17</f>
        <v>0</v>
      </c>
      <c r="P47" s="20">
        <f>KEF!U17</f>
        <v>17908.8</v>
      </c>
      <c r="Q47" s="20">
        <f>KEF!V17</f>
        <v>0</v>
      </c>
      <c r="R47" s="20">
        <f>KEF!W17</f>
        <v>0</v>
      </c>
      <c r="S47" s="20">
        <f>KEF!X17</f>
        <v>0</v>
      </c>
      <c r="T47" s="20">
        <f>KEF!Y17</f>
        <v>0</v>
      </c>
      <c r="U47" s="20">
        <f ca="1">KEF!Z17</f>
        <v>0</v>
      </c>
      <c r="V47" s="20">
        <f>KEF!AA17</f>
        <v>0</v>
      </c>
      <c r="W47" s="20">
        <f>KEF!AB17</f>
        <v>17908.8</v>
      </c>
      <c r="X47" s="65">
        <f ca="1">KEF!AC17</f>
        <v>8.9543999999999997</v>
      </c>
      <c r="Y47" s="80">
        <f ca="1">KEF!AD17</f>
        <v>0</v>
      </c>
      <c r="Z47" s="62"/>
    </row>
    <row r="48" spans="1:26" x14ac:dyDescent="0.25">
      <c r="A48" s="5">
        <v>44</v>
      </c>
      <c r="B48" s="84" t="s">
        <v>514</v>
      </c>
      <c r="C48" s="6" t="str">
        <f>VLOOKUP(Table242830891013141516232425323334353637[[#This Row],[SYMBOL]],Table2[[SYMBOL2]:[Sector ]],2,)</f>
        <v>Mutual Fund</v>
      </c>
      <c r="D48" s="9">
        <f ca="1">SFMF!F17</f>
        <v>46876</v>
      </c>
      <c r="E48" s="9">
        <f ca="1">SFMF!H17</f>
        <v>500635.68</v>
      </c>
      <c r="F48" s="9">
        <f ca="1">SFMF!I17</f>
        <v>0</v>
      </c>
      <c r="G48" s="9">
        <f>SFMF!K17</f>
        <v>0</v>
      </c>
      <c r="H48" s="9">
        <f ca="1">SFMF!M17</f>
        <v>500635.68</v>
      </c>
      <c r="I48" s="9">
        <f ca="1">SFMF!N17</f>
        <v>46876</v>
      </c>
      <c r="J48" s="42">
        <f ca="1">SFMF!O17</f>
        <v>10.68</v>
      </c>
      <c r="K48" s="10">
        <f ca="1">SFMF!P17</f>
        <v>0</v>
      </c>
      <c r="M48" s="20">
        <f>SFMF!R17</f>
        <v>0</v>
      </c>
      <c r="N48" s="20">
        <f>SFMF!S17</f>
        <v>0</v>
      </c>
      <c r="O48" s="20">
        <f>SFMF!T17</f>
        <v>0</v>
      </c>
      <c r="P48" s="20">
        <f>SFMF!U17</f>
        <v>515115.67639999994</v>
      </c>
      <c r="Q48" s="20">
        <f>SFMF!V17</f>
        <v>0</v>
      </c>
      <c r="R48" s="20">
        <f>SFMF!W17</f>
        <v>0</v>
      </c>
      <c r="S48" s="20">
        <f>SFMF!X17</f>
        <v>0</v>
      </c>
      <c r="T48" s="20">
        <f>SFMF!Y17</f>
        <v>0</v>
      </c>
      <c r="U48" s="20">
        <f ca="1">SFMF!Z17</f>
        <v>0</v>
      </c>
      <c r="V48" s="20">
        <f>SFMF!AA17</f>
        <v>0</v>
      </c>
      <c r="W48" s="20">
        <f>SFMF!AB17</f>
        <v>515115.67639999994</v>
      </c>
      <c r="X48" s="65">
        <f ca="1">SFMF!AC17</f>
        <v>10.988899999999999</v>
      </c>
      <c r="Y48" s="80">
        <f ca="1">SFMF!AD17</f>
        <v>0</v>
      </c>
      <c r="Z48" s="62"/>
    </row>
    <row r="49" spans="1:26" x14ac:dyDescent="0.25">
      <c r="A49" s="5">
        <v>45</v>
      </c>
      <c r="B49" s="84" t="s">
        <v>689</v>
      </c>
      <c r="C49" s="6" t="str">
        <f>VLOOKUP(Table242830891013141516232425323334353637[[#This Row],[SYMBOL]],Table2[[SYMBOL2]:[Sector ]],2,)</f>
        <v>Mutual Fund</v>
      </c>
      <c r="D49" s="9">
        <f ca="1">NICFC!F17</f>
        <v>2935</v>
      </c>
      <c r="E49" s="9">
        <f ca="1">NICFC!H17</f>
        <v>29790.25</v>
      </c>
      <c r="F49" s="9">
        <f ca="1">NICFC!I17</f>
        <v>0</v>
      </c>
      <c r="G49" s="9">
        <f>NICFC!K17</f>
        <v>0</v>
      </c>
      <c r="H49" s="9">
        <f ca="1">NICFC!M17</f>
        <v>29790.25</v>
      </c>
      <c r="I49" s="9">
        <f ca="1">NICFC!N17</f>
        <v>2935</v>
      </c>
      <c r="J49" s="42">
        <f ca="1">NICFC!O17</f>
        <v>10.15</v>
      </c>
      <c r="K49" s="10">
        <f ca="1">NICFC!P17</f>
        <v>0</v>
      </c>
      <c r="M49" s="20">
        <f>NICFC!R17</f>
        <v>0</v>
      </c>
      <c r="N49" s="20">
        <f>NICFC!S17</f>
        <v>0</v>
      </c>
      <c r="O49" s="20">
        <f>NICFC!T17</f>
        <v>0</v>
      </c>
      <c r="P49" s="20">
        <f>NICFC!U17</f>
        <v>28424.594499999999</v>
      </c>
      <c r="Q49" s="20">
        <f>NICFC!V17</f>
        <v>0</v>
      </c>
      <c r="R49" s="20">
        <f>NICFC!W17</f>
        <v>0</v>
      </c>
      <c r="S49" s="20">
        <f>NICFC!X17</f>
        <v>0</v>
      </c>
      <c r="T49" s="20">
        <f>NICFC!Y17</f>
        <v>0</v>
      </c>
      <c r="U49" s="20">
        <f ca="1">NICFC!Z17</f>
        <v>0</v>
      </c>
      <c r="V49" s="20">
        <f>NICFC!AA17</f>
        <v>0</v>
      </c>
      <c r="W49" s="20">
        <f>NICFC!AB17</f>
        <v>28424.594499999999</v>
      </c>
      <c r="X49" s="65">
        <f ca="1">NICFC!AC17</f>
        <v>9.6846999999999994</v>
      </c>
      <c r="Y49" s="80">
        <f ca="1">NICFC!AD17</f>
        <v>0</v>
      </c>
      <c r="Z49" s="62"/>
    </row>
    <row r="50" spans="1:26" x14ac:dyDescent="0.25">
      <c r="A50" s="5">
        <v>46</v>
      </c>
      <c r="B50" s="84" t="s">
        <v>856</v>
      </c>
      <c r="C50" s="6" t="str">
        <f>VLOOKUP(Table242830891013141516232425323334353637[[#This Row],[SYMBOL]],Table2[[SYMBOL2]:[Sector ]],2,)</f>
        <v>Mutual Fund</v>
      </c>
      <c r="D50" s="9">
        <f ca="1">'H8020'!F17</f>
        <v>3400</v>
      </c>
      <c r="E50" s="9">
        <f ca="1">'H8020'!H17</f>
        <v>39440</v>
      </c>
      <c r="F50" s="9">
        <f ca="1">'H8020'!I17</f>
        <v>0</v>
      </c>
      <c r="G50" s="9">
        <f>'H8020'!K17</f>
        <v>0</v>
      </c>
      <c r="H50" s="9">
        <f ca="1">'H8020'!M17</f>
        <v>39440</v>
      </c>
      <c r="I50" s="9">
        <f ca="1">'H8020'!N17</f>
        <v>3400</v>
      </c>
      <c r="J50" s="42">
        <f ca="1">'H8020'!O17</f>
        <v>11.6</v>
      </c>
      <c r="K50" s="10">
        <f ca="1">'H8020'!P17</f>
        <v>0</v>
      </c>
      <c r="M50" s="20">
        <f>'H8020'!R17</f>
        <v>0</v>
      </c>
      <c r="N50" s="20">
        <f>'H8020'!S17</f>
        <v>0</v>
      </c>
      <c r="O50" s="20">
        <f>'H8020'!T17</f>
        <v>0</v>
      </c>
      <c r="P50" s="20">
        <f>'H8020'!U17</f>
        <v>36811.120000000003</v>
      </c>
      <c r="Q50" s="20">
        <f>'H8020'!V17</f>
        <v>0</v>
      </c>
      <c r="R50" s="20">
        <f>'H8020'!W17</f>
        <v>0</v>
      </c>
      <c r="S50" s="20">
        <f>'H8020'!X17</f>
        <v>0</v>
      </c>
      <c r="T50" s="20">
        <f>'H8020'!Y17</f>
        <v>0</v>
      </c>
      <c r="U50" s="20">
        <f ca="1">'H8020'!Z17</f>
        <v>0</v>
      </c>
      <c r="V50" s="20">
        <f>'H8020'!AA17</f>
        <v>0</v>
      </c>
      <c r="W50" s="20">
        <f>'H8020'!AB17</f>
        <v>36811.120000000003</v>
      </c>
      <c r="X50" s="65">
        <f ca="1">'H8020'!AC17</f>
        <v>10.8268</v>
      </c>
      <c r="Y50" s="80">
        <f ca="1">'H8020'!AD17</f>
        <v>0</v>
      </c>
      <c r="Z50" s="62"/>
    </row>
    <row r="51" spans="1:26" ht="15.75" x14ac:dyDescent="0.25">
      <c r="A51" s="5"/>
      <c r="B51" s="12"/>
      <c r="C51" s="12" t="s">
        <v>877</v>
      </c>
      <c r="D51" s="15">
        <f ca="1">SUM(D4:D50)</f>
        <v>222532</v>
      </c>
      <c r="E51" s="15">
        <f t="shared" ref="E51:Y51" ca="1" si="0">SUM(E4:E50)</f>
        <v>110501459.81000002</v>
      </c>
      <c r="F51" s="15">
        <f t="shared" ca="1" si="0"/>
        <v>70198</v>
      </c>
      <c r="G51" s="15">
        <f t="shared" ca="1" si="0"/>
        <v>53966965.400000006</v>
      </c>
      <c r="H51" s="15">
        <f t="shared" ca="1" si="0"/>
        <v>62232575.498893678</v>
      </c>
      <c r="I51" s="15">
        <f t="shared" ca="1" si="0"/>
        <v>153834</v>
      </c>
      <c r="J51" s="15">
        <f t="shared" ca="1" si="0"/>
        <v>24900.576976401222</v>
      </c>
      <c r="K51" s="15">
        <f t="shared" ca="1" si="0"/>
        <v>4398081.0888936669</v>
      </c>
      <c r="L51" s="15">
        <f t="shared" si="0"/>
        <v>0</v>
      </c>
      <c r="M51" s="15">
        <f t="shared" si="0"/>
        <v>59861.010000000009</v>
      </c>
      <c r="N51" s="15">
        <f t="shared" si="0"/>
        <v>825</v>
      </c>
      <c r="O51" s="15">
        <f t="shared" si="0"/>
        <v>60686.010000000009</v>
      </c>
      <c r="P51" s="15">
        <f t="shared" ca="1" si="0"/>
        <v>105371480.50915113</v>
      </c>
      <c r="Q51" s="15">
        <f t="shared" ca="1" si="0"/>
        <v>177093.38000000003</v>
      </c>
      <c r="R51" s="15">
        <f t="shared" ca="1" si="0"/>
        <v>1350</v>
      </c>
      <c r="S51" s="15">
        <f t="shared" ca="1" si="0"/>
        <v>178443.38000000003</v>
      </c>
      <c r="T51" s="15">
        <f t="shared" ca="1" si="0"/>
        <v>123799.76999999999</v>
      </c>
      <c r="U51" s="15">
        <f t="shared" ca="1" si="0"/>
        <v>52360354.249999993</v>
      </c>
      <c r="V51" s="15">
        <f t="shared" ca="1" si="0"/>
        <v>52881957.363160297</v>
      </c>
      <c r="W51" s="15">
        <f t="shared" ca="1" si="0"/>
        <v>52489523.145990834</v>
      </c>
      <c r="X51" s="15">
        <f t="shared" ca="1" si="0"/>
        <v>22915.455636165694</v>
      </c>
      <c r="Y51" s="52">
        <f t="shared" ca="1" si="0"/>
        <v>-396435.37817448156</v>
      </c>
    </row>
    <row r="52" spans="1:26" x14ac:dyDescent="0.25">
      <c r="E52" s="62"/>
    </row>
    <row r="53" spans="1:26" x14ac:dyDescent="0.25">
      <c r="H53" s="62"/>
      <c r="I53" s="77"/>
    </row>
    <row r="54" spans="1:26" x14ac:dyDescent="0.25">
      <c r="H54" s="85"/>
      <c r="K54" s="77"/>
    </row>
    <row r="55" spans="1:26" x14ac:dyDescent="0.25">
      <c r="H55" s="62"/>
    </row>
    <row r="56" spans="1:26" x14ac:dyDescent="0.25">
      <c r="H56" s="78"/>
      <c r="K56" s="79"/>
    </row>
    <row r="57" spans="1:26" x14ac:dyDescent="0.25">
      <c r="H57" s="62"/>
    </row>
  </sheetData>
  <mergeCells count="6">
    <mergeCell ref="Y2:Y3"/>
    <mergeCell ref="W2:W3"/>
    <mergeCell ref="X2:X3"/>
    <mergeCell ref="M2:P2"/>
    <mergeCell ref="Q2:S2"/>
    <mergeCell ref="T2:T3"/>
  </mergeCells>
  <conditionalFormatting sqref="K4:K50 Y5:Y8 Y11 Y16:Y17 Y20:Y22 Y24:Y26 Y29:Y31 Y35:Y50">
    <cfRule type="cellIs" dxfId="2" priority="1" operator="lessThan">
      <formula>0</formula>
    </cfRule>
  </conditionalFormatting>
  <pageMargins left="0.2" right="0.2" top="0.74803149606299213" bottom="0.74803149606299213" header="0.31496062992125984" footer="0.31496062992125984"/>
  <pageSetup paperSize="9" scale="60" orientation="portrait" horizontalDpi="300" verticalDpi="300" r:id="rId1"/>
  <colBreaks count="1" manualBreakCount="1">
    <brk id="25" max="1048575" man="1"/>
  </colBreaks>
  <ignoredErrors>
    <ignoredError sqref="B12 B18 B9:B10 B27 B23 B32:B34 B38 B5:B8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1F75-B36B-4223-BAD6-0C52A0071985}">
  <dimension ref="A1:AE20"/>
  <sheetViews>
    <sheetView topLeftCell="P7" zoomScaleNormal="100" workbookViewId="0">
      <selection activeCell="A16" sqref="A16:AD16"/>
    </sheetView>
  </sheetViews>
  <sheetFormatPr defaultRowHeight="15" x14ac:dyDescent="0.25"/>
  <cols>
    <col min="1" max="1" width="31.5703125" bestFit="1" customWidth="1"/>
    <col min="2" max="2" width="6.85546875" bestFit="1" customWidth="1"/>
    <col min="3" max="3" width="7.7109375" bestFit="1" customWidth="1"/>
    <col min="4" max="4" width="10.28515625" bestFit="1" customWidth="1"/>
    <col min="5" max="5" width="8.28515625" bestFit="1" customWidth="1"/>
    <col min="6" max="6" width="13.5703125" bestFit="1" customWidth="1"/>
    <col min="7" max="7" width="8.7109375" bestFit="1" customWidth="1"/>
    <col min="8" max="8" width="18.28515625" bestFit="1" customWidth="1"/>
    <col min="9" max="9" width="10.42578125" bestFit="1" customWidth="1"/>
    <col min="10" max="10" width="10.28515625" bestFit="1" customWidth="1"/>
    <col min="11" max="11" width="6.42578125" bestFit="1" customWidth="1"/>
    <col min="12" max="12" width="12.42578125" bestFit="1" customWidth="1"/>
    <col min="13" max="13" width="16.85546875" bestFit="1" customWidth="1"/>
    <col min="14" max="14" width="12.140625" bestFit="1" customWidth="1"/>
    <col min="15" max="15" width="10.28515625" bestFit="1" customWidth="1"/>
    <col min="16" max="16" width="8.140625" bestFit="1" customWidth="1"/>
    <col min="17" max="17" width="13.85546875" bestFit="1" customWidth="1"/>
    <col min="18" max="18" width="9.140625" bestFit="1" customWidth="1"/>
    <col min="20" max="20" width="9.140625" bestFit="1" customWidth="1"/>
    <col min="21" max="21" width="17.7109375" bestFit="1" customWidth="1"/>
    <col min="22" max="23" width="9.140625" bestFit="1" customWidth="1"/>
    <col min="24" max="24" width="10.7109375" bestFit="1" customWidth="1"/>
    <col min="25" max="25" width="17.140625" bestFit="1" customWidth="1"/>
    <col min="26" max="26" width="17.7109375" bestFit="1" customWidth="1"/>
    <col min="27" max="27" width="34.5703125" bestFit="1" customWidth="1"/>
    <col min="28" max="28" width="17.7109375" bestFit="1" customWidth="1"/>
    <col min="29" max="29" width="14.7109375" bestFit="1" customWidth="1"/>
    <col min="30" max="30" width="11.85546875" bestFit="1" customWidth="1"/>
  </cols>
  <sheetData>
    <row r="1" spans="1:31" ht="18.75" x14ac:dyDescent="0.3">
      <c r="A1" s="66" t="s">
        <v>177</v>
      </c>
    </row>
    <row r="2" spans="1:31" ht="18.75" x14ac:dyDescent="0.3">
      <c r="A2" s="66" t="s">
        <v>178</v>
      </c>
    </row>
    <row r="3" spans="1:31" ht="18.75" x14ac:dyDescent="0.3">
      <c r="A3" s="66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554</v>
      </c>
      <c r="C7" s="6"/>
      <c r="D7" s="7">
        <v>45855</v>
      </c>
      <c r="E7" s="8" t="s">
        <v>19</v>
      </c>
      <c r="F7" s="9">
        <v>8461</v>
      </c>
      <c r="G7" s="9">
        <v>609.99</v>
      </c>
      <c r="H7" s="9">
        <f>Table242830891013141516232425323334353641[[#This Row],[Purchase QTY]]*Table242830891013141516232425323334353641[[#This Row],[PPPU]]</f>
        <v>5161125.3899999997</v>
      </c>
      <c r="I7" s="9"/>
      <c r="J7" s="9"/>
      <c r="K7" s="9"/>
      <c r="L7" s="9"/>
      <c r="M7" s="9">
        <f>Table242830891013141516232425323334353641[[#This Row],[Total Purchase Amount]]</f>
        <v>5161125.3899999997</v>
      </c>
      <c r="N7" s="9">
        <f>IF(Table242830891013141516232425323334353641[[#This Row],[Txn Type]]="opening",Table242830891013141516232425323334353641[[#This Row],[Purchase QTY]],"Error")</f>
        <v>8461</v>
      </c>
      <c r="O7" s="42">
        <f>IFERROR(Table242830891013141516232425323334353641[[#This Row],[TC AP NFRS]]/Table242830891013141516232425323334353641[[#This Row],[Unit Sum]],0)</f>
        <v>609.99</v>
      </c>
      <c r="P7" s="10">
        <f>Table242830891013141516232425323334353641[[#This Row],[Sales Amt]]-Table242830891013141516232425323334353641[[#This Row],[Principal Cost As per  NFRS (In case of Sales)]]</f>
        <v>0</v>
      </c>
      <c r="R7" s="17"/>
      <c r="S7" s="17"/>
      <c r="T7" s="20">
        <f>R7+S7</f>
        <v>0</v>
      </c>
      <c r="U7" s="20">
        <f>AB7</f>
        <v>5568996.3560000006</v>
      </c>
      <c r="V7" s="20"/>
      <c r="W7" s="20"/>
      <c r="X7" s="20"/>
      <c r="Y7" s="46"/>
      <c r="Z7" s="46"/>
      <c r="AA7" s="46"/>
      <c r="AB7" s="46">
        <f>F7*AC7</f>
        <v>5568996.3560000006</v>
      </c>
      <c r="AC7" s="46">
        <v>658.19600000000003</v>
      </c>
      <c r="AD7" s="56"/>
    </row>
    <row r="8" spans="1:31" x14ac:dyDescent="0.25">
      <c r="A8" s="5">
        <f>A7+1</f>
        <v>2</v>
      </c>
      <c r="B8" s="6" t="s">
        <v>554</v>
      </c>
      <c r="C8" s="6"/>
      <c r="D8" s="7"/>
      <c r="E8" s="8"/>
      <c r="F8" s="9"/>
      <c r="G8" s="9" t="e">
        <f>Table242830891013141516232425323334353641[[#This Row],[Total Purchase Amount]]/Table242830891013141516232425323334353641[[#This Row],[Purchase QTY]]</f>
        <v>#DIV/0!</v>
      </c>
      <c r="H8" s="9"/>
      <c r="I8" s="9">
        <v>0</v>
      </c>
      <c r="J8" s="9">
        <f>IFERROR(Table242830891013141516232425323334353641[[#This Row],[Sales Amt]]/Table242830891013141516232425323334353641[[#This Row],[Sales Qty]],0)</f>
        <v>0</v>
      </c>
      <c r="K8" s="9">
        <v>0</v>
      </c>
      <c r="L8" s="9">
        <f>Table242830891013141516232425323334353641[[#This Row],[Sales Qty]]*O7</f>
        <v>0</v>
      </c>
      <c r="M8" s="9">
        <f>M7+Table242830891013141516232425323334353641[[#This Row],[Total Purchase Amount]]-Table242830891013141516232425323334353641[[#This Row],[Principal Cost As per  NFRS (In case of Sales)]]</f>
        <v>5161125.3899999997</v>
      </c>
      <c r="N8" s="9">
        <f>N7+Table242830891013141516232425323334353641[[#This Row],[Purchase QTY]]-Table242830891013141516232425323334353641[[#This Row],[Sales Qty]]</f>
        <v>8461</v>
      </c>
      <c r="O8" s="42">
        <f>IFERROR(Table242830891013141516232425323334353641[[#This Row],[TC AP NFRS]]/Table242830891013141516232425323334353641[[#This Row],[Unit Sum]],0)</f>
        <v>609.99</v>
      </c>
      <c r="P8" s="10">
        <f>Table242830891013141516232425323334353641[[#This Row],[Sales Amt]]-Table242830891013141516232425323334353641[[#This Row],[Principal Cost As per  NFRS (In case of Sales)]]</f>
        <v>0</v>
      </c>
      <c r="R8" s="17"/>
      <c r="S8" s="17"/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5568996.3560000006</v>
      </c>
      <c r="AC8" s="20">
        <f>IFERROR(AB8/N8,0)</f>
        <v>658.19600000000003</v>
      </c>
      <c r="AD8" s="56">
        <f>Z8-AA8+Y8</f>
        <v>0</v>
      </c>
    </row>
    <row r="9" spans="1:31" x14ac:dyDescent="0.25">
      <c r="A9" s="5">
        <f t="shared" ref="A9:A10" si="0">A8+1</f>
        <v>3</v>
      </c>
      <c r="B9" s="6"/>
      <c r="C9" s="6"/>
      <c r="D9" s="7"/>
      <c r="E9" s="8"/>
      <c r="F9" s="9"/>
      <c r="G9" s="9">
        <f>IF(Table242830891013141516232425323334353641[[#This Row],[SPPU]]&gt;=0,0,Table242830891013141516232425323334353641[[#This Row],[Total Purchase Amount]]/Table242830891013141516232425323334353641[[#This Row],[Purchase QTY]])</f>
        <v>0</v>
      </c>
      <c r="H9" s="9"/>
      <c r="I9" s="9"/>
      <c r="J9" s="9">
        <f>IFERROR(Table242830891013141516232425323334353641[[#This Row],[Sales Amt]]/Table242830891013141516232425323334353641[[#This Row],[Sales Qty]],0)</f>
        <v>0</v>
      </c>
      <c r="K9" s="9"/>
      <c r="L9" s="9">
        <f>Table242830891013141516232425323334353641[[#This Row],[Sales Qty]]*O8</f>
        <v>0</v>
      </c>
      <c r="M9" s="9">
        <f>M8+Table242830891013141516232425323334353641[[#This Row],[Total Purchase Amount]]-Table242830891013141516232425323334353641[[#This Row],[Principal Cost As per  NFRS (In case of Sales)]]</f>
        <v>5161125.3899999997</v>
      </c>
      <c r="N9" s="9">
        <f>N8+Table242830891013141516232425323334353641[[#This Row],[Purchase QTY]]-Table242830891013141516232425323334353641[[#This Row],[Sales Qty]]</f>
        <v>8461</v>
      </c>
      <c r="O9" s="42">
        <f>IFERROR(Table242830891013141516232425323334353641[[#This Row],[TC AP NFRS]]/Table242830891013141516232425323334353641[[#This Row],[Unit Sum]],0)</f>
        <v>609.99</v>
      </c>
      <c r="P9" s="10">
        <f>Table242830891013141516232425323334353641[[#This Row],[Sales Amt]]-Table242830891013141516232425323334353641[[#This Row],[Principal Cost As per  NFRS (In case of Sales)]]</f>
        <v>0</v>
      </c>
      <c r="R9" s="17">
        <v>0</v>
      </c>
      <c r="S9" s="17"/>
      <c r="T9" s="20">
        <f>R9+S9</f>
        <v>0</v>
      </c>
      <c r="U9" s="20">
        <f>H9+T9</f>
        <v>0</v>
      </c>
      <c r="V9" s="20">
        <v>0</v>
      </c>
      <c r="W9" s="20">
        <v>0</v>
      </c>
      <c r="X9" s="55">
        <f>V9+W9</f>
        <v>0</v>
      </c>
      <c r="Y9" s="20">
        <v>0</v>
      </c>
      <c r="Z9" s="20">
        <f>K9-X9-Y9</f>
        <v>0</v>
      </c>
      <c r="AA9" s="20">
        <f>I9*AC8</f>
        <v>0</v>
      </c>
      <c r="AB9" s="20">
        <f>AB8+U9-AA9</f>
        <v>5568996.3560000006</v>
      </c>
      <c r="AC9" s="20">
        <f>IFERROR(AB9/N9,0)</f>
        <v>658.19600000000003</v>
      </c>
      <c r="AD9" s="56">
        <f>Z9-AA9+Y9</f>
        <v>0</v>
      </c>
    </row>
    <row r="10" spans="1:3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IF(Table242830891013141516232425323334353641[[#This Row],[SPPU]]&gt;=0,0,Table242830891013141516232425323334353641[[#This Row],[Total Purchase Amount]]/Table242830891013141516232425323334353641[[#This Row],[Purchase QTY]])</f>
        <v>0</v>
      </c>
      <c r="H10" s="9"/>
      <c r="I10" s="9">
        <v>0</v>
      </c>
      <c r="J10" s="9">
        <f>IFERROR(Table242830891013141516232425323334353641[[#This Row],[Sales Amt]]/Table242830891013141516232425323334353641[[#This Row],[Sales Qty]],0)</f>
        <v>0</v>
      </c>
      <c r="K10" s="9">
        <v>0</v>
      </c>
      <c r="L10" s="9">
        <f>Table242830891013141516232425323334353641[[#This Row],[Sales Qty]]*O9</f>
        <v>0</v>
      </c>
      <c r="M10" s="9">
        <f>M9+Table242830891013141516232425323334353641[[#This Row],[Total Purchase Amount]]-Table242830891013141516232425323334353641[[#This Row],[Principal Cost As per  NFRS (In case of Sales)]]</f>
        <v>5161125.3899999997</v>
      </c>
      <c r="N10" s="9">
        <f>N9+Table242830891013141516232425323334353641[[#This Row],[Purchase QTY]]-Table242830891013141516232425323334353641[[#This Row],[Sales Qty]]</f>
        <v>8461</v>
      </c>
      <c r="O10" s="42">
        <f>IFERROR(Table242830891013141516232425323334353641[[#This Row],[TC AP NFRS]]/Table242830891013141516232425323334353641[[#This Row],[Unit Sum]],0)</f>
        <v>609.99</v>
      </c>
      <c r="P10" s="10">
        <f>Table242830891013141516232425323334353641[[#This Row],[Sales Amt]]-Table242830891013141516232425323334353641[[#This Row],[Principal Cost As per  NFRS (In case of Sales)]]</f>
        <v>0</v>
      </c>
      <c r="R10" s="17">
        <v>0</v>
      </c>
      <c r="S10" s="17"/>
      <c r="T10" s="20">
        <f>R10+S10</f>
        <v>0</v>
      </c>
      <c r="U10" s="20">
        <f>H10+T10</f>
        <v>0</v>
      </c>
      <c r="V10" s="20">
        <v>0</v>
      </c>
      <c r="W10" s="20">
        <v>0</v>
      </c>
      <c r="X10" s="55">
        <f>V10+W10</f>
        <v>0</v>
      </c>
      <c r="Y10" s="20">
        <v>0</v>
      </c>
      <c r="Z10" s="20">
        <f>K10-X10-Y10</f>
        <v>0</v>
      </c>
      <c r="AA10" s="20">
        <f>I10*AC9</f>
        <v>0</v>
      </c>
      <c r="AB10" s="20">
        <f>AB9+U10-AA10</f>
        <v>5568996.3560000006</v>
      </c>
      <c r="AC10" s="20">
        <f>IFERROR(AB10/N10,0)</f>
        <v>658.19600000000003</v>
      </c>
      <c r="AD10" s="56">
        <f>Z10-AA10+Y10</f>
        <v>0</v>
      </c>
    </row>
    <row r="11" spans="1:31" ht="15.75" x14ac:dyDescent="0.25">
      <c r="A11" s="11" t="s">
        <v>22</v>
      </c>
      <c r="B11" s="12" t="s">
        <v>554</v>
      </c>
      <c r="C11" s="12"/>
      <c r="D11" s="13"/>
      <c r="E11" s="14"/>
      <c r="F11" s="15">
        <f ca="1">SUM(INDIRECT("f4:f"&amp;ROW()-1))</f>
        <v>8461</v>
      </c>
      <c r="G11" s="15"/>
      <c r="H11" s="15">
        <f ca="1">SUM(INDIRECT("h4:h"&amp;ROW()-1))</f>
        <v>5161125.3899999997</v>
      </c>
      <c r="I11" s="15">
        <f ca="1">SUM(INDIRECT("i4:i"&amp;ROW()-1))</f>
        <v>0</v>
      </c>
      <c r="J11" s="15" t="e">
        <f ca="1">Table242830891013141516232425323334353641[[#This Row],[Sales Amt]]/Table242830891013141516232425323334353641[[#This Row],[Sales Qty]]</f>
        <v>#DIV/0!</v>
      </c>
      <c r="K11" s="15">
        <f ca="1">SUM(INDIRECT("k4:k"&amp;ROW()-1))</f>
        <v>0</v>
      </c>
      <c r="L11" s="15"/>
      <c r="M11" s="15">
        <f ca="1">Table242830891013141516232425323334353641[[#This Row],[Total Purchase Amount]]-Table242830891013141516232425323334353641[[#This Row],[Principal Cost As per  NFRS (In case of Sales)]]</f>
        <v>5161125.3899999997</v>
      </c>
      <c r="N11" s="15">
        <f ca="1">Table242830891013141516232425323334353641[[#This Row],[Purchase QTY]]-Table242830891013141516232425323334353641[[#This Row],[Sales Qty]]</f>
        <v>8461</v>
      </c>
      <c r="O11" s="43">
        <f ca="1">Table242830891013141516232425323334353641[[#This Row],[TC AP NFRS]]/Table242830891013141516232425323334353641[[#This Row],[Unit Sum]]</f>
        <v>609.99</v>
      </c>
      <c r="P11" s="15">
        <f ca="1">SUM(INDIRECT("p4:p"&amp;ROW()-1))</f>
        <v>0</v>
      </c>
      <c r="R11" s="24">
        <f>SUM(R7:R10)</f>
        <v>0</v>
      </c>
      <c r="S11" s="24">
        <f t="shared" ref="S11:AA11" si="1">SUM(S7:S10)</f>
        <v>0</v>
      </c>
      <c r="T11" s="24">
        <f>SUM(T7:T10)</f>
        <v>0</v>
      </c>
      <c r="U11" s="24">
        <f>SUM(U7:U10)</f>
        <v>5568996.3560000006</v>
      </c>
      <c r="V11" s="24">
        <f t="shared" si="1"/>
        <v>0</v>
      </c>
      <c r="W11" s="24">
        <f t="shared" si="1"/>
        <v>0</v>
      </c>
      <c r="X11" s="24">
        <f t="shared" si="1"/>
        <v>0</v>
      </c>
      <c r="Y11" s="24">
        <f t="shared" si="1"/>
        <v>0</v>
      </c>
      <c r="Z11" s="24">
        <f t="shared" si="1"/>
        <v>0</v>
      </c>
      <c r="AA11" s="24">
        <f t="shared" si="1"/>
        <v>0</v>
      </c>
      <c r="AB11" s="24">
        <f>U11-AA11</f>
        <v>5568996.3560000006</v>
      </c>
      <c r="AC11" s="24">
        <f ca="1">AB11/Table242830891013141516232425323334353641[[#This Row],[Unit Sum]]</f>
        <v>658.19600000000003</v>
      </c>
      <c r="AD11" s="17">
        <f>SGIC!AJ15</f>
        <v>0</v>
      </c>
    </row>
    <row r="13" spans="1:31" x14ac:dyDescent="0.25">
      <c r="A13" t="s">
        <v>882</v>
      </c>
      <c r="R13" s="120" t="s">
        <v>20</v>
      </c>
      <c r="S13" s="121"/>
      <c r="T13" s="121"/>
      <c r="U13" s="50"/>
      <c r="V13" s="120" t="s">
        <v>67</v>
      </c>
      <c r="W13" s="121"/>
      <c r="X13" s="121"/>
      <c r="Y13" s="123" t="s">
        <v>13</v>
      </c>
      <c r="Z13" s="124" t="s">
        <v>10</v>
      </c>
      <c r="AA13" s="125" t="s">
        <v>66</v>
      </c>
      <c r="AB13" s="123" t="s">
        <v>15</v>
      </c>
      <c r="AC13" s="123" t="s">
        <v>18</v>
      </c>
      <c r="AD13" s="123" t="s">
        <v>12</v>
      </c>
    </row>
    <row r="14" spans="1:31" ht="75" x14ac:dyDescent="0.25">
      <c r="A14" s="1" t="s">
        <v>57</v>
      </c>
      <c r="B14" s="2" t="s">
        <v>0</v>
      </c>
      <c r="C14" s="2" t="s">
        <v>53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51</v>
      </c>
      <c r="I14" s="2" t="s">
        <v>6</v>
      </c>
      <c r="J14" s="16" t="s">
        <v>7</v>
      </c>
      <c r="K14" s="16" t="s">
        <v>8</v>
      </c>
      <c r="L14" s="2" t="s">
        <v>50</v>
      </c>
      <c r="M14" s="2" t="s">
        <v>14</v>
      </c>
      <c r="N14" s="2" t="s">
        <v>16</v>
      </c>
      <c r="O14" s="4" t="s">
        <v>17</v>
      </c>
      <c r="P14" s="3" t="s">
        <v>11</v>
      </c>
      <c r="R14" s="2" t="s">
        <v>65</v>
      </c>
      <c r="S14" s="2" t="s">
        <v>62</v>
      </c>
      <c r="T14" s="2" t="s">
        <v>5</v>
      </c>
      <c r="U14" s="2" t="s">
        <v>164</v>
      </c>
      <c r="V14" s="16" t="s">
        <v>64</v>
      </c>
      <c r="W14" s="16" t="s">
        <v>62</v>
      </c>
      <c r="X14" s="45" t="s">
        <v>9</v>
      </c>
      <c r="Y14" s="123"/>
      <c r="Z14" s="124"/>
      <c r="AA14" s="125"/>
      <c r="AB14" s="123"/>
      <c r="AC14" s="123"/>
      <c r="AD14" s="123"/>
    </row>
    <row r="15" spans="1:31" ht="15.75" x14ac:dyDescent="0.25">
      <c r="A15" s="5">
        <v>1</v>
      </c>
      <c r="B15" s="6" t="s">
        <v>554</v>
      </c>
      <c r="C15" s="6"/>
      <c r="D15" s="7">
        <v>45886</v>
      </c>
      <c r="E15" s="8" t="s">
        <v>19</v>
      </c>
      <c r="F15" s="61">
        <v>8461</v>
      </c>
      <c r="G15" s="9"/>
      <c r="H15" s="9">
        <v>5161125.3899999997</v>
      </c>
      <c r="I15" s="9"/>
      <c r="J15" s="9"/>
      <c r="K15" s="9"/>
      <c r="L15" s="9"/>
      <c r="M15" s="9">
        <v>5161125.3899999997</v>
      </c>
      <c r="N15" s="9">
        <v>8461</v>
      </c>
      <c r="O15" s="42">
        <v>609.99</v>
      </c>
      <c r="P15" s="10">
        <v>0</v>
      </c>
      <c r="R15" s="17"/>
      <c r="S15" s="17"/>
      <c r="T15" s="20"/>
      <c r="U15" s="20">
        <v>5568996.3560000006</v>
      </c>
      <c r="V15" s="20"/>
      <c r="W15" s="20"/>
      <c r="X15" s="20"/>
      <c r="Y15" s="46"/>
      <c r="Z15" s="46"/>
      <c r="AA15" s="46"/>
      <c r="AB15" s="46">
        <v>5568996.3560000006</v>
      </c>
      <c r="AC15" s="46">
        <v>658.19600000000003</v>
      </c>
      <c r="AD15" s="56"/>
    </row>
    <row r="16" spans="1:31" ht="15.75" x14ac:dyDescent="0.25">
      <c r="A16" s="11" t="s">
        <v>22</v>
      </c>
      <c r="B16" s="12" t="s">
        <v>554</v>
      </c>
      <c r="C16" s="12"/>
      <c r="D16" s="13"/>
      <c r="E16" s="14"/>
      <c r="F16" s="15">
        <f>SUM(F15)</f>
        <v>8461</v>
      </c>
      <c r="G16" s="15"/>
      <c r="H16" s="15">
        <f>SUM(H15)</f>
        <v>5161125.3899999997</v>
      </c>
      <c r="I16" s="15">
        <f ca="1">SUM(INDIRECT("i4:i"&amp;ROW()-1))</f>
        <v>0</v>
      </c>
      <c r="J16" s="15">
        <f>SUM(J15)</f>
        <v>0</v>
      </c>
      <c r="K16" s="15">
        <f ca="1">SUM(INDIRECT("k4:k"&amp;ROW()-1))</f>
        <v>0</v>
      </c>
      <c r="L16" s="15"/>
      <c r="M16" s="61">
        <f>H16-L16</f>
        <v>5161125.3899999997</v>
      </c>
      <c r="N16" s="15">
        <f ca="1">F16-I16</f>
        <v>8461</v>
      </c>
      <c r="O16" s="15">
        <f ca="1">M16/N16</f>
        <v>609.99</v>
      </c>
      <c r="P16" s="15">
        <f>SUM(P15)</f>
        <v>0</v>
      </c>
      <c r="R16" s="24">
        <f>SUM(R12:R15)</f>
        <v>0</v>
      </c>
      <c r="S16" s="24">
        <f t="shared" ref="S16" si="2">SUM(S12:S15)</f>
        <v>0</v>
      </c>
      <c r="T16" s="24">
        <f>SUM(T12:T15)</f>
        <v>0</v>
      </c>
      <c r="U16" s="24">
        <f>SUM(U15)</f>
        <v>5568996.3560000006</v>
      </c>
      <c r="V16" s="24">
        <f>SUM(V15)</f>
        <v>0</v>
      </c>
      <c r="W16" s="24">
        <f t="shared" ref="W16:AA16" si="3">SUM(W15)</f>
        <v>0</v>
      </c>
      <c r="X16" s="24">
        <f t="shared" si="3"/>
        <v>0</v>
      </c>
      <c r="Y16" s="24">
        <f t="shared" si="3"/>
        <v>0</v>
      </c>
      <c r="Z16" s="24">
        <f t="shared" si="3"/>
        <v>0</v>
      </c>
      <c r="AA16" s="24">
        <f t="shared" si="3"/>
        <v>0</v>
      </c>
      <c r="AB16" s="24">
        <f>U16-AA16</f>
        <v>5568996.3560000006</v>
      </c>
      <c r="AC16" s="24">
        <f>AB16/F16</f>
        <v>658.19600000000003</v>
      </c>
      <c r="AD16" s="24">
        <f>SGIC!AG19</f>
        <v>0</v>
      </c>
    </row>
    <row r="18" spans="1:30" x14ac:dyDescent="0.25">
      <c r="A18" t="s">
        <v>918</v>
      </c>
      <c r="R18" s="120" t="s">
        <v>20</v>
      </c>
      <c r="S18" s="121"/>
      <c r="T18" s="121"/>
      <c r="U18" s="50"/>
      <c r="V18" s="120" t="s">
        <v>67</v>
      </c>
      <c r="W18" s="121"/>
      <c r="X18" s="121"/>
      <c r="Y18" s="123" t="s">
        <v>13</v>
      </c>
      <c r="Z18" s="124" t="s">
        <v>10</v>
      </c>
      <c r="AA18" s="125" t="s">
        <v>66</v>
      </c>
      <c r="AB18" s="123" t="s">
        <v>15</v>
      </c>
      <c r="AC18" s="123" t="s">
        <v>18</v>
      </c>
      <c r="AD18" s="123" t="s">
        <v>12</v>
      </c>
    </row>
    <row r="19" spans="1:30" ht="75" x14ac:dyDescent="0.25">
      <c r="A19" s="1" t="s">
        <v>57</v>
      </c>
      <c r="B19" s="2" t="s">
        <v>0</v>
      </c>
      <c r="C19" s="2" t="s">
        <v>53</v>
      </c>
      <c r="D19" s="2" t="s">
        <v>1</v>
      </c>
      <c r="E19" s="2" t="s">
        <v>2</v>
      </c>
      <c r="F19" s="2" t="s">
        <v>3</v>
      </c>
      <c r="G19" s="2" t="s">
        <v>4</v>
      </c>
      <c r="H19" s="2" t="s">
        <v>51</v>
      </c>
      <c r="I19" s="2" t="s">
        <v>6</v>
      </c>
      <c r="J19" s="16" t="s">
        <v>7</v>
      </c>
      <c r="K19" s="16" t="s">
        <v>8</v>
      </c>
      <c r="L19" s="2" t="s">
        <v>50</v>
      </c>
      <c r="M19" s="2" t="s">
        <v>14</v>
      </c>
      <c r="N19" s="2" t="s">
        <v>16</v>
      </c>
      <c r="O19" s="4" t="s">
        <v>17</v>
      </c>
      <c r="P19" s="3" t="s">
        <v>11</v>
      </c>
      <c r="R19" s="2" t="s">
        <v>65</v>
      </c>
      <c r="S19" s="2" t="s">
        <v>62</v>
      </c>
      <c r="T19" s="2" t="s">
        <v>5</v>
      </c>
      <c r="U19" s="2" t="s">
        <v>164</v>
      </c>
      <c r="V19" s="16" t="s">
        <v>64</v>
      </c>
      <c r="W19" s="16" t="s">
        <v>62</v>
      </c>
      <c r="X19" s="45" t="s">
        <v>9</v>
      </c>
      <c r="Y19" s="123"/>
      <c r="Z19" s="124"/>
      <c r="AA19" s="125"/>
      <c r="AB19" s="123"/>
      <c r="AC19" s="123"/>
      <c r="AD19" s="123"/>
    </row>
    <row r="20" spans="1:30" ht="15.75" x14ac:dyDescent="0.25">
      <c r="A20" s="5">
        <v>1</v>
      </c>
      <c r="B20" s="6" t="s">
        <v>554</v>
      </c>
      <c r="C20" s="6"/>
      <c r="D20" s="7">
        <v>45917</v>
      </c>
      <c r="E20" s="8" t="s">
        <v>19</v>
      </c>
      <c r="F20" s="61">
        <v>8461</v>
      </c>
      <c r="G20" s="9"/>
      <c r="H20" s="9">
        <v>5161125.3899999997</v>
      </c>
      <c r="I20" s="9"/>
      <c r="J20" s="9"/>
      <c r="K20" s="9"/>
      <c r="L20" s="9"/>
      <c r="M20" s="9">
        <v>5161125.3899999997</v>
      </c>
      <c r="N20" s="9">
        <v>8461</v>
      </c>
      <c r="O20" s="42">
        <v>609.99</v>
      </c>
      <c r="P20" s="10">
        <v>0</v>
      </c>
      <c r="R20" s="17"/>
      <c r="S20" s="17"/>
      <c r="T20" s="20"/>
      <c r="U20" s="20">
        <v>5568996.3560000006</v>
      </c>
      <c r="V20" s="20"/>
      <c r="W20" s="20"/>
      <c r="X20" s="20"/>
      <c r="Y20" s="46"/>
      <c r="Z20" s="46"/>
      <c r="AA20" s="46"/>
      <c r="AB20" s="46">
        <v>5568996.3560000006</v>
      </c>
      <c r="AC20" s="46">
        <v>658.19600000000003</v>
      </c>
      <c r="AD20" s="56"/>
    </row>
  </sheetData>
  <mergeCells count="24">
    <mergeCell ref="AB13:AB14"/>
    <mergeCell ref="AC13:AC14"/>
    <mergeCell ref="AD13:AD14"/>
    <mergeCell ref="R13:T13"/>
    <mergeCell ref="V13:X13"/>
    <mergeCell ref="Y13:Y14"/>
    <mergeCell ref="Z13:Z14"/>
    <mergeCell ref="AA13:AA14"/>
    <mergeCell ref="AC5:AC6"/>
    <mergeCell ref="AD5:AD6"/>
    <mergeCell ref="R5:T5"/>
    <mergeCell ref="V5:X5"/>
    <mergeCell ref="Y5:Y6"/>
    <mergeCell ref="Z5:Z6"/>
    <mergeCell ref="AA5:AA6"/>
    <mergeCell ref="AB5:AB6"/>
    <mergeCell ref="AB18:AB19"/>
    <mergeCell ref="AC18:AC19"/>
    <mergeCell ref="AD18:AD19"/>
    <mergeCell ref="R18:T18"/>
    <mergeCell ref="V18:X18"/>
    <mergeCell ref="Y18:Y19"/>
    <mergeCell ref="Z18:Z19"/>
    <mergeCell ref="AA18:AA19"/>
  </mergeCells>
  <pageMargins left="0.7" right="0.7" top="0.75" bottom="0.75" header="0.3" footer="0.3"/>
  <pageSetup paperSize="9" scale="46" orientation="portrait" horizontalDpi="300" verticalDpi="300" r:id="rId1"/>
  <ignoredErrors>
    <ignoredError sqref="U16" formula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8C7A7A-22E2-46D0-B3DE-4616D826298D}">
          <x14:formula1>
            <xm:f>VALIDATION!$A$2:$A$7</xm:f>
          </x14:formula1>
          <xm:sqref>E7:E10 E15 E20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985E-AE13-455B-B4B3-AC9810095D14}">
  <dimension ref="A1:AE21"/>
  <sheetViews>
    <sheetView topLeftCell="A7" zoomScaleNormal="100" workbookViewId="0">
      <selection activeCell="AD17" sqref="A17:AD17"/>
    </sheetView>
  </sheetViews>
  <sheetFormatPr defaultRowHeight="15" x14ac:dyDescent="0.25"/>
  <cols>
    <col min="1" max="1" width="31.5703125" bestFit="1" customWidth="1"/>
    <col min="2" max="2" width="6.85546875" bestFit="1" customWidth="1"/>
    <col min="3" max="3" width="18.28515625" bestFit="1" customWidth="1"/>
    <col min="4" max="4" width="10.28515625" bestFit="1" customWidth="1"/>
    <col min="5" max="5" width="8.85546875" bestFit="1" customWidth="1"/>
    <col min="6" max="6" width="12.140625" bestFit="1" customWidth="1"/>
    <col min="7" max="7" width="8.7109375" bestFit="1" customWidth="1"/>
    <col min="8" max="8" width="14.85546875" bestFit="1" customWidth="1"/>
    <col min="9" max="9" width="10.42578125" bestFit="1" customWidth="1"/>
    <col min="10" max="10" width="9.42578125" bestFit="1" customWidth="1"/>
    <col min="11" max="11" width="6.42578125" bestFit="1" customWidth="1"/>
    <col min="12" max="12" width="12.42578125" bestFit="1" customWidth="1"/>
    <col min="13" max="13" width="14.85546875" bestFit="1" customWidth="1"/>
    <col min="14" max="14" width="12.140625" bestFit="1" customWidth="1"/>
    <col min="15" max="15" width="10.28515625" bestFit="1" customWidth="1"/>
    <col min="16" max="16" width="8.140625" bestFit="1" customWidth="1"/>
    <col min="17" max="17" width="2.5703125" customWidth="1"/>
    <col min="18" max="18" width="12.85546875" bestFit="1" customWidth="1"/>
    <col min="19" max="19" width="9.5703125" bestFit="1" customWidth="1"/>
    <col min="20" max="20" width="12.85546875" bestFit="1" customWidth="1"/>
    <col min="21" max="21" width="15.5703125" bestFit="1" customWidth="1"/>
    <col min="22" max="23" width="9.140625" bestFit="1" customWidth="1"/>
    <col min="24" max="24" width="10.7109375" bestFit="1" customWidth="1"/>
    <col min="25" max="25" width="17.140625" bestFit="1" customWidth="1"/>
    <col min="26" max="26" width="17.7109375" bestFit="1" customWidth="1"/>
    <col min="27" max="27" width="34.5703125" bestFit="1" customWidth="1"/>
    <col min="28" max="28" width="15.5703125" bestFit="1" customWidth="1"/>
    <col min="29" max="29" width="14.7109375" bestFit="1" customWidth="1"/>
    <col min="30" max="30" width="11.85546875" bestFit="1" customWidth="1"/>
  </cols>
  <sheetData>
    <row r="1" spans="1:31" ht="18.75" x14ac:dyDescent="0.3">
      <c r="A1" s="66" t="s">
        <v>177</v>
      </c>
    </row>
    <row r="2" spans="1:31" ht="18.75" x14ac:dyDescent="0.3">
      <c r="A2" s="66" t="s">
        <v>178</v>
      </c>
    </row>
    <row r="3" spans="1:31" ht="18.75" x14ac:dyDescent="0.3">
      <c r="A3" s="66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161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Table2428308910131415162324253233343536[[#This Row],[Purchase QTY]]*Table2428308910131415162324253233343536[[#This Row],[PPPU]]</f>
        <v>0</v>
      </c>
      <c r="I7" s="9"/>
      <c r="J7" s="9"/>
      <c r="K7" s="9"/>
      <c r="L7" s="9"/>
      <c r="M7" s="9">
        <f>Table2428308910131415162324253233343536[[#This Row],[Total Purchase Amount]]</f>
        <v>0</v>
      </c>
      <c r="N7" s="9">
        <f>IF(Table2428308910131415162324253233343536[[#This Row],[Txn Type]]="opening",Table2428308910131415162324253233343536[[#This Row],[Purchase QTY]],"Error")</f>
        <v>0</v>
      </c>
      <c r="O7" s="42">
        <f>IFERROR(Table2428308910131415162324253233343536[[#This Row],[TC AP NFRS]]/Table2428308910131415162324253233343536[[#This Row],[Unit Sum]],0)</f>
        <v>0</v>
      </c>
      <c r="P7" s="10">
        <f>Table2428308910131415162324253233343536[[#This Row],[Sales Amt]]-Table2428308910131415162324253233343536[[#This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1" x14ac:dyDescent="0.25">
      <c r="A8" s="5">
        <f>A7+1</f>
        <v>2</v>
      </c>
      <c r="B8" s="6" t="s">
        <v>161</v>
      </c>
      <c r="C8" s="6" t="s">
        <v>162</v>
      </c>
      <c r="D8" s="7">
        <v>45876</v>
      </c>
      <c r="E8" s="8" t="s">
        <v>55</v>
      </c>
      <c r="F8" s="9">
        <v>500</v>
      </c>
      <c r="G8" s="9">
        <f>Table2428308910131415162324253233343536[[#This Row],[Total Purchase Amount]]/Table2428308910131415162324253233343536[[#This Row],[Purchase QTY]]</f>
        <v>565</v>
      </c>
      <c r="H8" s="9">
        <v>282500</v>
      </c>
      <c r="I8" s="9">
        <v>0</v>
      </c>
      <c r="J8" s="9">
        <f>IFERROR(Table2428308910131415162324253233343536[[#This Row],[Sales Amt]]/Table2428308910131415162324253233343536[[#This Row],[Sales Qty]],0)</f>
        <v>0</v>
      </c>
      <c r="K8" s="9">
        <v>0</v>
      </c>
      <c r="L8" s="9">
        <f>Table2428308910131415162324253233343536[[#This Row],[Sales Qty]]*O7</f>
        <v>0</v>
      </c>
      <c r="M8" s="9">
        <f>M7+Table2428308910131415162324253233343536[[#This Row],[Total Purchase Amount]]-Table2428308910131415162324253233343536[[#This Row],[Principal Cost As per  NFRS (In case of Sales)]]</f>
        <v>282500</v>
      </c>
      <c r="N8" s="9">
        <f>N7+Table2428308910131415162324253233343536[[#This Row],[Purchase QTY]]-Table2428308910131415162324253233343536[[#This Row],[Sales Qty]]</f>
        <v>500</v>
      </c>
      <c r="O8" s="42">
        <f>IFERROR(Table2428308910131415162324253233343536[[#This Row],[TC AP NFRS]]/Table2428308910131415162324253233343536[[#This Row],[Unit Sum]],0)</f>
        <v>565</v>
      </c>
      <c r="P8" s="10">
        <f>Table2428308910131415162324253233343536[[#This Row],[Sales Amt]]-Table2428308910131415162324253233343536[[#This Row],[Principal Cost As per  NFRS (In case of Sales)]]</f>
        <v>0</v>
      </c>
      <c r="R8" s="17">
        <f>42.38+932.25</f>
        <v>974.63</v>
      </c>
      <c r="S8" s="17">
        <v>25</v>
      </c>
      <c r="T8" s="20">
        <f>R8+S8</f>
        <v>999.63</v>
      </c>
      <c r="U8" s="20">
        <f>H8+T8</f>
        <v>283499.63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283499.63</v>
      </c>
      <c r="AC8" s="20">
        <f>IFERROR(AB8/N8,0)</f>
        <v>566.99926000000005</v>
      </c>
      <c r="AD8" s="56">
        <f>Z8-AA8+Y8</f>
        <v>0</v>
      </c>
    </row>
    <row r="9" spans="1:31" x14ac:dyDescent="0.25">
      <c r="A9" s="5">
        <f t="shared" ref="A9:A10" si="0">A8+1</f>
        <v>3</v>
      </c>
      <c r="B9" s="6"/>
      <c r="C9" s="6"/>
      <c r="D9" s="7"/>
      <c r="E9" s="8"/>
      <c r="F9" s="9"/>
      <c r="G9" s="9">
        <f>IF(Table2428308910131415162324253233343536[[#This Row],[SPPU]]&gt;=0,0,Table2428308910131415162324253233343536[[#This Row],[Total Purchase Amount]]/Table2428308910131415162324253233343536[[#This Row],[Purchase QTY]])</f>
        <v>0</v>
      </c>
      <c r="H9" s="9"/>
      <c r="I9" s="9"/>
      <c r="J9" s="9">
        <f>IFERROR(Table2428308910131415162324253233343536[[#This Row],[Sales Amt]]/Table2428308910131415162324253233343536[[#This Row],[Sales Qty]],0)</f>
        <v>0</v>
      </c>
      <c r="K9" s="9"/>
      <c r="L9" s="9">
        <f>Table2428308910131415162324253233343536[[#This Row],[Sales Qty]]*O8</f>
        <v>0</v>
      </c>
      <c r="M9" s="9">
        <f>M8+Table2428308910131415162324253233343536[[#This Row],[Total Purchase Amount]]-Table2428308910131415162324253233343536[[#This Row],[Principal Cost As per  NFRS (In case of Sales)]]</f>
        <v>282500</v>
      </c>
      <c r="N9" s="9">
        <f>N8+Table2428308910131415162324253233343536[[#This Row],[Purchase QTY]]-Table2428308910131415162324253233343536[[#This Row],[Sales Qty]]</f>
        <v>500</v>
      </c>
      <c r="O9" s="42">
        <f>IFERROR(Table2428308910131415162324253233343536[[#This Row],[TC AP NFRS]]/Table2428308910131415162324253233343536[[#This Row],[Unit Sum]],0)</f>
        <v>565</v>
      </c>
      <c r="P9" s="10">
        <f>Table2428308910131415162324253233343536[[#This Row],[Sales Amt]]-Table2428308910131415162324253233343536[[#This Row],[Principal Cost As per  NFRS (In case of Sales)]]</f>
        <v>0</v>
      </c>
      <c r="R9" s="17">
        <v>0</v>
      </c>
      <c r="S9" s="17"/>
      <c r="T9" s="20">
        <f>R9+S9</f>
        <v>0</v>
      </c>
      <c r="U9" s="20">
        <f>H9+T9</f>
        <v>0</v>
      </c>
      <c r="V9" s="20">
        <v>0</v>
      </c>
      <c r="W9" s="20">
        <v>0</v>
      </c>
      <c r="X9" s="55">
        <f>V9+W9</f>
        <v>0</v>
      </c>
      <c r="Y9" s="20">
        <v>0</v>
      </c>
      <c r="Z9" s="20">
        <f>K9-X9-Y9</f>
        <v>0</v>
      </c>
      <c r="AA9" s="20">
        <f>I9*AC8</f>
        <v>0</v>
      </c>
      <c r="AB9" s="20">
        <f>AB8+U9-AA9</f>
        <v>283499.63</v>
      </c>
      <c r="AC9" s="20">
        <f>IFERROR(AB9/N9,0)</f>
        <v>566.99926000000005</v>
      </c>
      <c r="AD9" s="56">
        <f>Z9-AA9+Y9</f>
        <v>0</v>
      </c>
    </row>
    <row r="10" spans="1:3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IF(Table2428308910131415162324253233343536[[#This Row],[SPPU]]&gt;=0,0,Table2428308910131415162324253233343536[[#This Row],[Total Purchase Amount]]/Table2428308910131415162324253233343536[[#This Row],[Purchase QTY]])</f>
        <v>0</v>
      </c>
      <c r="H10" s="9"/>
      <c r="I10" s="9">
        <v>0</v>
      </c>
      <c r="J10" s="9">
        <f>IFERROR(Table2428308910131415162324253233343536[[#This Row],[Sales Amt]]/Table2428308910131415162324253233343536[[#This Row],[Sales Qty]],0)</f>
        <v>0</v>
      </c>
      <c r="K10" s="9">
        <v>0</v>
      </c>
      <c r="L10" s="9">
        <f>Table2428308910131415162324253233343536[[#This Row],[Sales Qty]]*O9</f>
        <v>0</v>
      </c>
      <c r="M10" s="9">
        <f>M9+Table2428308910131415162324253233343536[[#This Row],[Total Purchase Amount]]-Table2428308910131415162324253233343536[[#This Row],[Principal Cost As per  NFRS (In case of Sales)]]</f>
        <v>282500</v>
      </c>
      <c r="N10" s="9">
        <f>N9+Table2428308910131415162324253233343536[[#This Row],[Purchase QTY]]-Table2428308910131415162324253233343536[[#This Row],[Sales Qty]]</f>
        <v>500</v>
      </c>
      <c r="O10" s="42">
        <f>IFERROR(Table2428308910131415162324253233343536[[#This Row],[TC AP NFRS]]/Table2428308910131415162324253233343536[[#This Row],[Unit Sum]],0)</f>
        <v>565</v>
      </c>
      <c r="P10" s="10">
        <f>Table2428308910131415162324253233343536[[#This Row],[Sales Amt]]-Table2428308910131415162324253233343536[[#This Row],[Principal Cost As per  NFRS (In case of Sales)]]</f>
        <v>0</v>
      </c>
      <c r="R10" s="17">
        <v>0</v>
      </c>
      <c r="S10" s="17"/>
      <c r="T10" s="20">
        <f>R10+S10</f>
        <v>0</v>
      </c>
      <c r="U10" s="20">
        <f>H10+T10</f>
        <v>0</v>
      </c>
      <c r="V10" s="20">
        <v>0</v>
      </c>
      <c r="W10" s="20">
        <v>0</v>
      </c>
      <c r="X10" s="55">
        <f>V10+W10</f>
        <v>0</v>
      </c>
      <c r="Y10" s="20">
        <v>0</v>
      </c>
      <c r="Z10" s="20">
        <f>K10-X10-Y10</f>
        <v>0</v>
      </c>
      <c r="AA10" s="20">
        <f>I10*AC9</f>
        <v>0</v>
      </c>
      <c r="AB10" s="20">
        <f>AB9+U10-AA10</f>
        <v>283499.63</v>
      </c>
      <c r="AC10" s="20">
        <f>IFERROR(AB10/N10,0)</f>
        <v>566.99926000000005</v>
      </c>
      <c r="AD10" s="56">
        <f>Z10-AA10+Y10</f>
        <v>0</v>
      </c>
    </row>
    <row r="11" spans="1:31" ht="15.75" x14ac:dyDescent="0.25">
      <c r="A11" s="11" t="s">
        <v>22</v>
      </c>
      <c r="B11" s="12" t="s">
        <v>161</v>
      </c>
      <c r="C11" s="12"/>
      <c r="D11" s="13"/>
      <c r="E11" s="14"/>
      <c r="F11" s="15">
        <f ca="1">SUM(INDIRECT("f4:f"&amp;ROW()-1))</f>
        <v>500</v>
      </c>
      <c r="G11" s="15"/>
      <c r="H11" s="15">
        <f ca="1">SUM(INDIRECT("h4:h"&amp;ROW()-1))</f>
        <v>282500</v>
      </c>
      <c r="I11" s="15">
        <f ca="1">SUM(INDIRECT("i4:i"&amp;ROW()-1))</f>
        <v>0</v>
      </c>
      <c r="J11" s="15" t="e">
        <f ca="1">Table2428308910131415162324253233343536[[#This Row],[Sales Amt]]/Table2428308910131415162324253233343536[[#This Row],[Sales Qty]]</f>
        <v>#DIV/0!</v>
      </c>
      <c r="K11" s="15">
        <f ca="1">SUM(INDIRECT("k4:k"&amp;ROW()-1))</f>
        <v>0</v>
      </c>
      <c r="L11" s="15"/>
      <c r="M11" s="15">
        <f ca="1">Table2428308910131415162324253233343536[[#This Row],[Total Purchase Amount]]-Table2428308910131415162324253233343536[[#This Row],[Principal Cost As per  NFRS (In case of Sales)]]</f>
        <v>282500</v>
      </c>
      <c r="N11" s="15">
        <f ca="1">Table2428308910131415162324253233343536[[#This Row],[Purchase QTY]]-Table2428308910131415162324253233343536[[#This Row],[Sales Qty]]</f>
        <v>500</v>
      </c>
      <c r="O11" s="43">
        <f ca="1">Table2428308910131415162324253233343536[[#This Row],[TC AP NFRS]]/Table2428308910131415162324253233343536[[#This Row],[Unit Sum]]</f>
        <v>565</v>
      </c>
      <c r="P11" s="15">
        <f ca="1">SUM(INDIRECT("p4:p"&amp;ROW()-1))</f>
        <v>0</v>
      </c>
      <c r="R11" s="24">
        <f>SUM(R7:R10)</f>
        <v>974.63</v>
      </c>
      <c r="S11" s="24">
        <f t="shared" ref="S11:AA11" si="1">SUM(S7:S10)</f>
        <v>25</v>
      </c>
      <c r="T11" s="24">
        <f>SUM(T7:T10)</f>
        <v>999.63</v>
      </c>
      <c r="U11" s="24">
        <f>SUM(U7:U10)</f>
        <v>283499.63</v>
      </c>
      <c r="V11" s="24">
        <f t="shared" si="1"/>
        <v>0</v>
      </c>
      <c r="W11" s="24">
        <f t="shared" si="1"/>
        <v>0</v>
      </c>
      <c r="X11" s="24">
        <f t="shared" si="1"/>
        <v>0</v>
      </c>
      <c r="Y11" s="24">
        <f t="shared" si="1"/>
        <v>0</v>
      </c>
      <c r="Z11" s="24">
        <f t="shared" si="1"/>
        <v>0</v>
      </c>
      <c r="AA11" s="24">
        <f t="shared" si="1"/>
        <v>0</v>
      </c>
      <c r="AB11" s="24">
        <f>U11-AA11</f>
        <v>283499.63</v>
      </c>
      <c r="AC11" s="24">
        <f ca="1">AB11/Table2428308910131415162324253233343536[[#This Row],[Unit Sum]]</f>
        <v>566.99926000000005</v>
      </c>
      <c r="AD11" s="17">
        <f>SHL!AJ15</f>
        <v>0</v>
      </c>
    </row>
    <row r="13" spans="1:31" x14ac:dyDescent="0.25">
      <c r="A13" t="s">
        <v>882</v>
      </c>
      <c r="R13" s="120" t="s">
        <v>20</v>
      </c>
      <c r="S13" s="121"/>
      <c r="T13" s="121"/>
      <c r="U13" s="50"/>
      <c r="V13" s="120" t="s">
        <v>67</v>
      </c>
      <c r="W13" s="121"/>
      <c r="X13" s="121"/>
      <c r="Y13" s="123" t="s">
        <v>13</v>
      </c>
      <c r="Z13" s="124" t="s">
        <v>10</v>
      </c>
      <c r="AA13" s="125" t="s">
        <v>66</v>
      </c>
      <c r="AB13" s="123" t="s">
        <v>15</v>
      </c>
      <c r="AC13" s="123" t="s">
        <v>18</v>
      </c>
      <c r="AD13" s="123" t="s">
        <v>12</v>
      </c>
    </row>
    <row r="14" spans="1:31" ht="75" x14ac:dyDescent="0.25">
      <c r="A14" s="1" t="s">
        <v>57</v>
      </c>
      <c r="B14" s="2" t="s">
        <v>0</v>
      </c>
      <c r="C14" s="2" t="s">
        <v>53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51</v>
      </c>
      <c r="I14" s="2" t="s">
        <v>6</v>
      </c>
      <c r="J14" s="16" t="s">
        <v>7</v>
      </c>
      <c r="K14" s="16" t="s">
        <v>8</v>
      </c>
      <c r="L14" s="2" t="s">
        <v>50</v>
      </c>
      <c r="M14" s="2" t="s">
        <v>14</v>
      </c>
      <c r="N14" s="2" t="s">
        <v>16</v>
      </c>
      <c r="O14" s="4" t="s">
        <v>17</v>
      </c>
      <c r="P14" s="3" t="s">
        <v>11</v>
      </c>
      <c r="R14" s="2" t="s">
        <v>65</v>
      </c>
      <c r="S14" s="2" t="s">
        <v>62</v>
      </c>
      <c r="T14" s="2" t="s">
        <v>5</v>
      </c>
      <c r="U14" s="2" t="s">
        <v>164</v>
      </c>
      <c r="V14" s="16" t="s">
        <v>64</v>
      </c>
      <c r="W14" s="16" t="s">
        <v>62</v>
      </c>
      <c r="X14" s="45" t="s">
        <v>9</v>
      </c>
      <c r="Y14" s="123"/>
      <c r="Z14" s="124"/>
      <c r="AA14" s="125"/>
      <c r="AB14" s="123"/>
      <c r="AC14" s="123"/>
      <c r="AD14" s="123"/>
    </row>
    <row r="15" spans="1:31" x14ac:dyDescent="0.25">
      <c r="A15" s="95">
        <v>1</v>
      </c>
      <c r="B15" t="s">
        <v>161</v>
      </c>
      <c r="D15" s="7">
        <v>45886</v>
      </c>
      <c r="E15" s="8" t="s">
        <v>19</v>
      </c>
      <c r="F15" s="59">
        <v>500</v>
      </c>
      <c r="G15" s="59"/>
      <c r="H15" s="59">
        <v>282500</v>
      </c>
      <c r="I15" s="59">
        <v>0</v>
      </c>
      <c r="J15" s="59"/>
      <c r="K15" s="59">
        <v>0</v>
      </c>
      <c r="L15" s="59"/>
      <c r="M15" s="59">
        <v>282500</v>
      </c>
      <c r="N15" s="59">
        <v>500</v>
      </c>
      <c r="O15" s="59">
        <v>565</v>
      </c>
      <c r="P15" s="59">
        <v>0</v>
      </c>
      <c r="Q15" s="59"/>
      <c r="R15" s="59">
        <v>974.63</v>
      </c>
      <c r="S15" s="59">
        <v>25</v>
      </c>
      <c r="T15" s="59">
        <v>999.63</v>
      </c>
      <c r="U15" s="59">
        <v>283499.63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283499.63</v>
      </c>
      <c r="AC15" s="59">
        <v>566.99926000000005</v>
      </c>
      <c r="AD15" s="56"/>
    </row>
    <row r="16" spans="1:31" x14ac:dyDescent="0.25">
      <c r="A16" s="5">
        <f>A15+1</f>
        <v>2</v>
      </c>
      <c r="B16" s="6" t="s">
        <v>161</v>
      </c>
      <c r="C16" s="6" t="s">
        <v>911</v>
      </c>
      <c r="D16" s="7">
        <v>45900</v>
      </c>
      <c r="E16" s="8" t="s">
        <v>55</v>
      </c>
      <c r="F16" s="9">
        <v>500</v>
      </c>
      <c r="G16" s="9">
        <f>H16/F16</f>
        <v>558</v>
      </c>
      <c r="H16" s="9">
        <v>279000</v>
      </c>
      <c r="I16" s="9"/>
      <c r="J16" s="9"/>
      <c r="K16" s="9"/>
      <c r="L16" s="9"/>
      <c r="M16" s="9">
        <f>M15+H16-L16</f>
        <v>561500</v>
      </c>
      <c r="N16" s="9">
        <f>N15+F16-I16</f>
        <v>1000</v>
      </c>
      <c r="O16" s="42">
        <f>IFERROR(M16/N16,0)</f>
        <v>561.5</v>
      </c>
      <c r="P16" s="10"/>
      <c r="R16" s="17">
        <f>920.7+41.85</f>
        <v>962.55000000000007</v>
      </c>
      <c r="S16" s="17">
        <v>25</v>
      </c>
      <c r="T16" s="20">
        <f>R16+S16</f>
        <v>987.55000000000007</v>
      </c>
      <c r="U16" s="20">
        <f>H16+T16</f>
        <v>279987.55</v>
      </c>
      <c r="V16" s="20">
        <v>0</v>
      </c>
      <c r="W16" s="20">
        <v>0</v>
      </c>
      <c r="X16" s="55">
        <f>V16+W16</f>
        <v>0</v>
      </c>
      <c r="Y16" s="20">
        <v>0</v>
      </c>
      <c r="Z16" s="20">
        <f>K16-X16-Y16</f>
        <v>0</v>
      </c>
      <c r="AA16" s="20">
        <f>I16*AC15</f>
        <v>0</v>
      </c>
      <c r="AB16" s="20">
        <f>AB15+U16-AA16</f>
        <v>563487.17999999993</v>
      </c>
      <c r="AC16" s="20">
        <f>IFERROR(AB16/N16,0)</f>
        <v>563.48717999999997</v>
      </c>
      <c r="AD16" s="56">
        <f>Z16-AA16+Y16</f>
        <v>0</v>
      </c>
    </row>
    <row r="17" spans="1:30" ht="15.75" x14ac:dyDescent="0.25">
      <c r="A17" s="11" t="s">
        <v>22</v>
      </c>
      <c r="B17" s="12" t="s">
        <v>161</v>
      </c>
      <c r="C17" s="12"/>
      <c r="D17" s="13"/>
      <c r="E17" s="14"/>
      <c r="F17" s="15">
        <f>SUM(F15:F16)</f>
        <v>1000</v>
      </c>
      <c r="G17" s="15"/>
      <c r="H17" s="15">
        <f>SUM(H15:H16)</f>
        <v>561500</v>
      </c>
      <c r="I17" s="15">
        <f ca="1">SUM(INDIRECT("i4:i"&amp;ROW()-1))</f>
        <v>0</v>
      </c>
      <c r="J17" s="15">
        <f>SUM(J16)</f>
        <v>0</v>
      </c>
      <c r="K17" s="15">
        <f ca="1">SUM(INDIRECT("k4:k"&amp;ROW()-1))</f>
        <v>0</v>
      </c>
      <c r="L17" s="15"/>
      <c r="M17" s="61">
        <f>H17-L17</f>
        <v>561500</v>
      </c>
      <c r="N17" s="15">
        <f ca="1">F17-I17</f>
        <v>1000</v>
      </c>
      <c r="O17" s="15">
        <f ca="1">M17/N17</f>
        <v>561.5</v>
      </c>
      <c r="P17" s="15">
        <f>SUM(P16)</f>
        <v>0</v>
      </c>
      <c r="R17" s="24">
        <f>SUM(R15:R16)</f>
        <v>1937.18</v>
      </c>
      <c r="S17" s="24">
        <f>SUM(S15:S16)</f>
        <v>50</v>
      </c>
      <c r="T17" s="24">
        <f>SUM(T15:T16)</f>
        <v>1987.18</v>
      </c>
      <c r="U17" s="24">
        <f>SUM(U15:U16)</f>
        <v>563487.17999999993</v>
      </c>
      <c r="V17" s="24">
        <f>SUM(V16)</f>
        <v>0</v>
      </c>
      <c r="W17" s="24">
        <f t="shared" ref="W17:AA17" si="2">SUM(W16)</f>
        <v>0</v>
      </c>
      <c r="X17" s="24">
        <f t="shared" si="2"/>
        <v>0</v>
      </c>
      <c r="Y17" s="24">
        <f t="shared" si="2"/>
        <v>0</v>
      </c>
      <c r="Z17" s="24">
        <f t="shared" si="2"/>
        <v>0</v>
      </c>
      <c r="AA17" s="24">
        <f t="shared" si="2"/>
        <v>0</v>
      </c>
      <c r="AB17" s="24">
        <f>U17-AA17</f>
        <v>563487.17999999993</v>
      </c>
      <c r="AC17" s="24">
        <f>AB17/F17</f>
        <v>563.48717999999997</v>
      </c>
      <c r="AD17" s="24">
        <f>SGIC!AG20</f>
        <v>0</v>
      </c>
    </row>
    <row r="19" spans="1:30" x14ac:dyDescent="0.25">
      <c r="A19" t="s">
        <v>918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5">
        <v>1</v>
      </c>
      <c r="B21" t="s">
        <v>161</v>
      </c>
      <c r="D21" s="7">
        <v>45886</v>
      </c>
      <c r="E21" s="8" t="s">
        <v>19</v>
      </c>
      <c r="F21" s="59">
        <v>1000</v>
      </c>
      <c r="G21" s="59"/>
      <c r="H21" s="59">
        <v>561500</v>
      </c>
      <c r="I21" s="59">
        <v>0</v>
      </c>
      <c r="J21" s="59">
        <v>0</v>
      </c>
      <c r="K21" s="59">
        <v>0</v>
      </c>
      <c r="L21" s="59"/>
      <c r="M21" s="59">
        <v>561500</v>
      </c>
      <c r="N21" s="59">
        <v>1000</v>
      </c>
      <c r="O21" s="59">
        <v>561.5</v>
      </c>
      <c r="P21" s="59">
        <v>0</v>
      </c>
      <c r="Q21" s="59"/>
      <c r="R21" s="59">
        <v>1937.18</v>
      </c>
      <c r="S21" s="59">
        <v>50</v>
      </c>
      <c r="T21" s="59">
        <v>1987.18</v>
      </c>
      <c r="U21" s="59">
        <v>563487.17999999993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563487.17999999993</v>
      </c>
      <c r="AC21" s="59">
        <v>563.48717999999997</v>
      </c>
      <c r="AD21" s="56">
        <v>0</v>
      </c>
    </row>
  </sheetData>
  <mergeCells count="24">
    <mergeCell ref="AB13:AB14"/>
    <mergeCell ref="AC13:AC14"/>
    <mergeCell ref="AD13:AD14"/>
    <mergeCell ref="R13:T13"/>
    <mergeCell ref="V13:X13"/>
    <mergeCell ref="Y13:Y14"/>
    <mergeCell ref="Z13:Z14"/>
    <mergeCell ref="AA13:AA14"/>
    <mergeCell ref="R5:T5"/>
    <mergeCell ref="AC5:AC6"/>
    <mergeCell ref="AD5:AD6"/>
    <mergeCell ref="V5:X5"/>
    <mergeCell ref="Y5:Y6"/>
    <mergeCell ref="Z5:Z6"/>
    <mergeCell ref="AA5:AA6"/>
    <mergeCell ref="AB5:AB6"/>
    <mergeCell ref="AB19:AB20"/>
    <mergeCell ref="AC19:AC20"/>
    <mergeCell ref="AD19:AD20"/>
    <mergeCell ref="R19:T19"/>
    <mergeCell ref="V19:X19"/>
    <mergeCell ref="Y19:Y20"/>
    <mergeCell ref="Z19:Z20"/>
    <mergeCell ref="AA19:AA20"/>
  </mergeCells>
  <pageMargins left="0.7" right="0.7" top="0.75" bottom="0.75" header="0.3" footer="0.3"/>
  <pageSetup paperSize="9" scale="46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44E4A2-BAF0-409A-AA29-3571A86B50BA}">
          <x14:formula1>
            <xm:f>VALIDATION!$A$2:$A$7</xm:f>
          </x14:formula1>
          <xm:sqref>E7:E10 E15:E16 E21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45BA-4BFB-41C5-AB76-D2FFC526EF2C}">
  <dimension ref="A1:AE22"/>
  <sheetViews>
    <sheetView topLeftCell="A13" workbookViewId="0">
      <selection activeCell="A23" sqref="A23:AD23"/>
    </sheetView>
  </sheetViews>
  <sheetFormatPr defaultRowHeight="15" x14ac:dyDescent="0.25"/>
  <cols>
    <col min="1" max="1" width="16.28515625" customWidth="1"/>
    <col min="2" max="2" width="7.42578125" bestFit="1" customWidth="1"/>
    <col min="3" max="3" width="15.85546875" bestFit="1" customWidth="1"/>
    <col min="4" max="4" width="10.28515625" bestFit="1" customWidth="1"/>
    <col min="5" max="5" width="8.85546875" bestFit="1" customWidth="1"/>
    <col min="6" max="6" width="12.140625" bestFit="1" customWidth="1"/>
    <col min="7" max="7" width="8.7109375" bestFit="1" customWidth="1"/>
    <col min="8" max="8" width="14.85546875" bestFit="1" customWidth="1"/>
    <col min="9" max="9" width="10.42578125" bestFit="1" customWidth="1"/>
    <col min="10" max="10" width="9.42578125" bestFit="1" customWidth="1"/>
    <col min="11" max="11" width="10.85546875" bestFit="1" customWidth="1"/>
    <col min="12" max="12" width="12.42578125" bestFit="1" customWidth="1"/>
    <col min="13" max="13" width="14.85546875" bestFit="1" customWidth="1"/>
    <col min="14" max="14" width="12.140625" bestFit="1" customWidth="1"/>
    <col min="15" max="15" width="10.28515625" bestFit="1" customWidth="1"/>
    <col min="16" max="16" width="14" bestFit="1" customWidth="1"/>
    <col min="17" max="17" width="13.85546875" bestFit="1" customWidth="1"/>
    <col min="18" max="18" width="12.85546875" bestFit="1" customWidth="1"/>
    <col min="19" max="19" width="9.5703125" bestFit="1" customWidth="1"/>
    <col min="20" max="20" width="12.85546875" bestFit="1" customWidth="1"/>
    <col min="21" max="21" width="17.7109375" bestFit="1" customWidth="1"/>
    <col min="22" max="23" width="9.140625" bestFit="1" customWidth="1"/>
    <col min="24" max="24" width="10.7109375" bestFit="1" customWidth="1"/>
    <col min="25" max="25" width="17.140625" bestFit="1" customWidth="1"/>
    <col min="26" max="26" width="17.7109375" bestFit="1" customWidth="1"/>
    <col min="27" max="27" width="34.5703125" bestFit="1" customWidth="1"/>
    <col min="28" max="28" width="17.7109375" bestFit="1" customWidth="1"/>
    <col min="29" max="29" width="14.7109375" bestFit="1" customWidth="1"/>
    <col min="30" max="30" width="11.8554687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158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Table24283089101314151623242532333435[[#This Row],[Purchase QTY]]*Table24283089101314151623242532333435[[#This Row],[PPPU]]</f>
        <v>0</v>
      </c>
      <c r="I7" s="9"/>
      <c r="J7" s="9"/>
      <c r="K7" s="9"/>
      <c r="L7" s="9"/>
      <c r="M7" s="9">
        <f>Table24283089101314151623242532333435[[#This Row],[Total Purchase Amount]]</f>
        <v>0</v>
      </c>
      <c r="N7" s="9">
        <f>IF(Table24283089101314151623242532333435[[#This Row],[Txn Type]]="opening",Table24283089101314151623242532333435[[#This Row],[Purchase QTY]],"Error")</f>
        <v>0</v>
      </c>
      <c r="O7" s="42">
        <f>IFERROR(Table24283089101314151623242532333435[[#This Row],[TC AP NFRS]]/Table24283089101314151623242532333435[[#This Row],[Unit Sum]],0)</f>
        <v>0</v>
      </c>
      <c r="P7" s="10">
        <f>Table24283089101314151623242532333435[[#This Row],[Sales Amt]]-Table24283089101314151623242532333435[[#This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1" ht="30" x14ac:dyDescent="0.25">
      <c r="A8" s="5">
        <f>A7+1</f>
        <v>2</v>
      </c>
      <c r="B8" s="6" t="s">
        <v>158</v>
      </c>
      <c r="C8" s="6" t="s">
        <v>159</v>
      </c>
      <c r="D8" s="7">
        <v>45876</v>
      </c>
      <c r="E8" s="8" t="s">
        <v>55</v>
      </c>
      <c r="F8" s="9">
        <v>1000</v>
      </c>
      <c r="G8" s="9">
        <f>Table24283089101314151623242532333435[[#This Row],[Total Purchase Amount]]/Table24283089101314151623242532333435[[#This Row],[Purchase QTY]]</f>
        <v>445</v>
      </c>
      <c r="H8" s="9">
        <v>445000</v>
      </c>
      <c r="I8" s="9">
        <v>0</v>
      </c>
      <c r="J8" s="9">
        <f>IFERROR(Table24283089101314151623242532333435[[#This Row],[Sales Amt]]/Table24283089101314151623242532333435[[#This Row],[Sales Qty]],0)</f>
        <v>0</v>
      </c>
      <c r="K8" s="9">
        <v>0</v>
      </c>
      <c r="L8" s="9">
        <f>Table24283089101314151623242532333435[[#This Row],[Sales Qty]]*O7</f>
        <v>0</v>
      </c>
      <c r="M8" s="9">
        <f>M7+Table24283089101314151623242532333435[[#This Row],[Total Purchase Amount]]-Table24283089101314151623242532333435[[#This Row],[Principal Cost As per  NFRS (In case of Sales)]]</f>
        <v>445000</v>
      </c>
      <c r="N8" s="9">
        <f>N7+Table24283089101314151623242532333435[[#This Row],[Purchase QTY]]-Table24283089101314151623242532333435[[#This Row],[Sales Qty]]</f>
        <v>1000</v>
      </c>
      <c r="O8" s="42">
        <f>IFERROR(Table24283089101314151623242532333435[[#This Row],[TC AP NFRS]]/Table24283089101314151623242532333435[[#This Row],[Unit Sum]],0)</f>
        <v>445</v>
      </c>
      <c r="P8" s="10">
        <f>Table24283089101314151623242532333435[[#This Row],[Sales Amt]]-Table24283089101314151623242532333435[[#This Row],[Principal Cost As per  NFRS (In case of Sales)]]</f>
        <v>0</v>
      </c>
      <c r="R8" s="17">
        <f>66.75+1468.5</f>
        <v>1535.25</v>
      </c>
      <c r="S8" s="17">
        <v>25</v>
      </c>
      <c r="T8" s="20">
        <f>R8+S8</f>
        <v>1560.25</v>
      </c>
      <c r="U8" s="20">
        <f>H8+T8</f>
        <v>446560.25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446560.25</v>
      </c>
      <c r="AC8" s="20">
        <f>IFERROR(AB8/N8,0)</f>
        <v>446.56025</v>
      </c>
      <c r="AD8" s="56">
        <f>Z8-AA8+Y8</f>
        <v>0</v>
      </c>
    </row>
    <row r="9" spans="1:31" x14ac:dyDescent="0.25">
      <c r="A9" s="5">
        <f t="shared" ref="A9:A11" si="0">A8+1</f>
        <v>3</v>
      </c>
      <c r="B9" s="6"/>
      <c r="C9" s="6"/>
      <c r="D9" s="7"/>
      <c r="E9" s="8"/>
      <c r="F9" s="9"/>
      <c r="G9" s="9">
        <f>IF(Table24283089101314151623242532333435[[#This Row],[SPPU]]&gt;=0,0,Table24283089101314151623242532333435[[#This Row],[Total Purchase Amount]]/Table24283089101314151623242532333435[[#This Row],[Purchase QTY]])</f>
        <v>0</v>
      </c>
      <c r="H9" s="9"/>
      <c r="I9" s="9"/>
      <c r="J9" s="9">
        <f>IFERROR(Table24283089101314151623242532333435[[#This Row],[Sales Amt]]/Table24283089101314151623242532333435[[#This Row],[Sales Qty]],0)</f>
        <v>0</v>
      </c>
      <c r="K9" s="9"/>
      <c r="L9" s="9">
        <f>Table24283089101314151623242532333435[[#This Row],[Sales Qty]]*O8</f>
        <v>0</v>
      </c>
      <c r="M9" s="9">
        <f>M8+Table24283089101314151623242532333435[[#This Row],[Total Purchase Amount]]-Table24283089101314151623242532333435[[#This Row],[Principal Cost As per  NFRS (In case of Sales)]]</f>
        <v>445000</v>
      </c>
      <c r="N9" s="9">
        <f>N8+Table24283089101314151623242532333435[[#This Row],[Purchase QTY]]-Table24283089101314151623242532333435[[#This Row],[Sales Qty]]</f>
        <v>1000</v>
      </c>
      <c r="O9" s="42">
        <f>IFERROR(Table24283089101314151623242532333435[[#This Row],[TC AP NFRS]]/Table24283089101314151623242532333435[[#This Row],[Unit Sum]],0)</f>
        <v>445</v>
      </c>
      <c r="P9" s="10">
        <f>Table24283089101314151623242532333435[[#This Row],[Sales Amt]]-Table24283089101314151623242532333435[[#This Row],[Principal Cost As per  NFRS (In case of Sales)]]</f>
        <v>0</v>
      </c>
      <c r="R9" s="17">
        <v>0</v>
      </c>
      <c r="S9" s="17"/>
      <c r="T9" s="20">
        <f>R9+S9</f>
        <v>0</v>
      </c>
      <c r="U9" s="20">
        <f>H9+T9</f>
        <v>0</v>
      </c>
      <c r="V9" s="20">
        <v>0</v>
      </c>
      <c r="W9" s="20">
        <v>0</v>
      </c>
      <c r="X9" s="55">
        <f>V9+W9</f>
        <v>0</v>
      </c>
      <c r="Y9" s="20">
        <v>0</v>
      </c>
      <c r="Z9" s="20">
        <f>K9-X9-Y9</f>
        <v>0</v>
      </c>
      <c r="AA9" s="20">
        <f>I9*AC8</f>
        <v>0</v>
      </c>
      <c r="AB9" s="20">
        <f>AB8+U9-AA9</f>
        <v>446560.25</v>
      </c>
      <c r="AC9" s="20">
        <f>IFERROR(AB9/N9,0)</f>
        <v>446.56025</v>
      </c>
      <c r="AD9" s="56">
        <f>Z9-AA9+Y9</f>
        <v>0</v>
      </c>
    </row>
    <row r="10" spans="1:3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IF(Table24283089101314151623242532333435[[#This Row],[SPPU]]&gt;=0,0,Table24283089101314151623242532333435[[#This Row],[Total Purchase Amount]]/Table24283089101314151623242532333435[[#This Row],[Purchase QTY]])</f>
        <v>0</v>
      </c>
      <c r="H10" s="9"/>
      <c r="I10" s="9">
        <v>0</v>
      </c>
      <c r="J10" s="9">
        <f>IFERROR(Table24283089101314151623242532333435[[#This Row],[Sales Amt]]/Table24283089101314151623242532333435[[#This Row],[Sales Qty]],0)</f>
        <v>0</v>
      </c>
      <c r="K10" s="9">
        <v>0</v>
      </c>
      <c r="L10" s="9">
        <f>Table24283089101314151623242532333435[[#This Row],[Sales Qty]]*O9</f>
        <v>0</v>
      </c>
      <c r="M10" s="9">
        <f>M9+Table24283089101314151623242532333435[[#This Row],[Total Purchase Amount]]-Table24283089101314151623242532333435[[#This Row],[Principal Cost As per  NFRS (In case of Sales)]]</f>
        <v>445000</v>
      </c>
      <c r="N10" s="9">
        <f>N9+Table24283089101314151623242532333435[[#This Row],[Purchase QTY]]-Table24283089101314151623242532333435[[#This Row],[Sales Qty]]</f>
        <v>1000</v>
      </c>
      <c r="O10" s="42">
        <f>IFERROR(Table24283089101314151623242532333435[[#This Row],[TC AP NFRS]]/Table24283089101314151623242532333435[[#This Row],[Unit Sum]],0)</f>
        <v>445</v>
      </c>
      <c r="P10" s="10">
        <f>Table24283089101314151623242532333435[[#This Row],[Sales Amt]]-Table24283089101314151623242532333435[[#This Row],[Principal Cost As per  NFRS (In case of Sales)]]</f>
        <v>0</v>
      </c>
      <c r="R10" s="17">
        <v>0</v>
      </c>
      <c r="S10" s="17"/>
      <c r="T10" s="20">
        <f>R10+S10</f>
        <v>0</v>
      </c>
      <c r="U10" s="20">
        <f>H10+T10</f>
        <v>0</v>
      </c>
      <c r="V10" s="20">
        <v>0</v>
      </c>
      <c r="W10" s="20">
        <v>0</v>
      </c>
      <c r="X10" s="55">
        <f>V10+W10</f>
        <v>0</v>
      </c>
      <c r="Y10" s="20">
        <v>0</v>
      </c>
      <c r="Z10" s="20">
        <f>K10-X10-Y10</f>
        <v>0</v>
      </c>
      <c r="AA10" s="20">
        <f>I10*AC9</f>
        <v>0</v>
      </c>
      <c r="AB10" s="20">
        <f>AB9+U10-AA10</f>
        <v>446560.25</v>
      </c>
      <c r="AC10" s="20">
        <f>IFERROR(AB10/N10,0)</f>
        <v>446.56025</v>
      </c>
      <c r="AD10" s="56">
        <f>Z10-AA10+Y10</f>
        <v>0</v>
      </c>
    </row>
    <row r="11" spans="1:31" ht="15.75" x14ac:dyDescent="0.25">
      <c r="A11" s="5">
        <f t="shared" si="0"/>
        <v>5</v>
      </c>
      <c r="B11" s="6"/>
      <c r="C11" s="6"/>
      <c r="D11" s="7"/>
      <c r="E11" s="8"/>
      <c r="F11" s="9">
        <v>0</v>
      </c>
      <c r="G11" s="9" t="e">
        <f>Table24283089101314151623242532333435[[#This Row],[Total Purchase Amount]]/Table24283089101314151623242532333435[[#This Row],[Purchase QTY]]</f>
        <v>#DIV/0!</v>
      </c>
      <c r="H11" s="9">
        <v>0</v>
      </c>
      <c r="I11" s="9">
        <v>0</v>
      </c>
      <c r="J11" s="9">
        <f ca="1">IFERROR(Table24283089101314151623242532333435[[#This Row],[Sales Amt]]/Table24283089101314151623242532333435[[#This Row],[Sales Qty]],0)</f>
        <v>0</v>
      </c>
      <c r="K11" s="9">
        <f ca="1">Table24283089101314151623242532333435[[#This Row],[Sales Qty]]*Table24283089101314151623242532333435[[#This Row],[SPPU]]</f>
        <v>0</v>
      </c>
      <c r="L11" s="9">
        <f>Table24283089101314151623242532333435[[#This Row],[Sales Qty]]*O10</f>
        <v>0</v>
      </c>
      <c r="M11" s="9">
        <f>M10+Table24283089101314151623242532333435[[#This Row],[Total Purchase Amount]]-Table24283089101314151623242532333435[[#This Row],[Principal Cost As per  NFRS (In case of Sales)]]</f>
        <v>445000</v>
      </c>
      <c r="N11" s="9">
        <f>N10+Table24283089101314151623242532333435[[#This Row],[Purchase QTY]]-Table24283089101314151623242532333435[[#This Row],[Sales Qty]]</f>
        <v>1000</v>
      </c>
      <c r="O11" s="42">
        <f>IFERROR(Table24283089101314151623242532333435[[#This Row],[TC AP NFRS]]/Table24283089101314151623242532333435[[#This Row],[Unit Sum]],0)</f>
        <v>445</v>
      </c>
      <c r="P11" s="10">
        <f ca="1">Table24283089101314151623242532333435[[#This Row],[Sales Amt]]-Table24283089101314151623242532333435[[#This Row],[Principal Cost As per  NFRS (In case of Sales)]]</f>
        <v>0</v>
      </c>
      <c r="R11" s="24">
        <f>SUM(R7:R10)</f>
        <v>1535.25</v>
      </c>
      <c r="S11" s="24">
        <f t="shared" ref="S11:AA11" si="1">SUM(S7:S10)</f>
        <v>25</v>
      </c>
      <c r="T11" s="24">
        <f t="shared" si="1"/>
        <v>1560.25</v>
      </c>
      <c r="U11" s="24">
        <f>SUM(U7:U10)</f>
        <v>446560.25</v>
      </c>
      <c r="V11" s="24">
        <f t="shared" si="1"/>
        <v>0</v>
      </c>
      <c r="W11" s="24">
        <f t="shared" si="1"/>
        <v>0</v>
      </c>
      <c r="X11" s="24">
        <f t="shared" si="1"/>
        <v>0</v>
      </c>
      <c r="Y11" s="24">
        <f t="shared" si="1"/>
        <v>0</v>
      </c>
      <c r="Z11" s="24">
        <f t="shared" si="1"/>
        <v>0</v>
      </c>
      <c r="AA11" s="24">
        <f t="shared" si="1"/>
        <v>0</v>
      </c>
      <c r="AB11" s="24"/>
      <c r="AC11" s="24"/>
      <c r="AD11" s="24">
        <f>SUM(AD7:AD10)</f>
        <v>0</v>
      </c>
    </row>
    <row r="12" spans="1:31" ht="15.75" x14ac:dyDescent="0.25">
      <c r="A12" s="11" t="s">
        <v>22</v>
      </c>
      <c r="B12" s="12"/>
      <c r="C12" s="12"/>
      <c r="D12" s="13"/>
      <c r="E12" s="14"/>
      <c r="F12" s="15">
        <f ca="1">SUM(INDIRECT("f4:f"&amp;ROW()-1))</f>
        <v>1000</v>
      </c>
      <c r="G12" s="15"/>
      <c r="H12" s="15">
        <f ca="1">SUM(INDIRECT("h4:h"&amp;ROW()-1))</f>
        <v>445000</v>
      </c>
      <c r="I12" s="15">
        <f ca="1">SUM(INDIRECT("i4:i"&amp;ROW()-1))</f>
        <v>0</v>
      </c>
      <c r="J12" s="15" t="e">
        <f ca="1">Table24283089101314151623242532333435[[#This Row],[Sales Amt]]/Table24283089101314151623242532333435[[#This Row],[Sales Qty]]</f>
        <v>#DIV/0!</v>
      </c>
      <c r="K12" s="15">
        <f ca="1">SUM(INDIRECT("k4:k"&amp;ROW()-1))</f>
        <v>0</v>
      </c>
      <c r="L12" s="15">
        <f ca="1">SUM(INDIRECT("l4:l"&amp;ROW()-1))</f>
        <v>0</v>
      </c>
      <c r="M12" s="15">
        <f ca="1">Table24283089101314151623242532333435[[#This Row],[Total Purchase Amount]]-Table24283089101314151623242532333435[[#This Row],[Principal Cost As per  NFRS (In case of Sales)]]</f>
        <v>445000</v>
      </c>
      <c r="N12" s="15">
        <f ca="1">Table24283089101314151623242532333435[[#This Row],[Purchase QTY]]-Table24283089101314151623242532333435[[#This Row],[Sales Qty]]</f>
        <v>1000</v>
      </c>
      <c r="O12" s="43">
        <f ca="1">Table24283089101314151623242532333435[[#This Row],[TC AP NFRS]]/Table24283089101314151623242532333435[[#This Row],[Unit Sum]]</f>
        <v>445</v>
      </c>
      <c r="P12" s="15">
        <f ca="1">SUM(INDIRECT("p4:p"&amp;ROW()-1))</f>
        <v>0</v>
      </c>
      <c r="R12" s="24">
        <f>SUM(R7:R11)</f>
        <v>3070.5</v>
      </c>
      <c r="S12" s="24">
        <f t="shared" ref="S12:AA12" si="2">SUM(S7:S11)</f>
        <v>50</v>
      </c>
      <c r="T12" s="24">
        <f>SUM(T7:T11)</f>
        <v>3120.5</v>
      </c>
      <c r="U12" s="24">
        <f>SUM(U7:U11)</f>
        <v>893120.5</v>
      </c>
      <c r="V12" s="24">
        <f t="shared" si="2"/>
        <v>0</v>
      </c>
      <c r="W12" s="24">
        <f t="shared" si="2"/>
        <v>0</v>
      </c>
      <c r="X12" s="24">
        <f t="shared" si="2"/>
        <v>0</v>
      </c>
      <c r="Y12" s="24">
        <f t="shared" si="2"/>
        <v>0</v>
      </c>
      <c r="Z12" s="24">
        <f t="shared" si="2"/>
        <v>0</v>
      </c>
      <c r="AA12" s="24">
        <f t="shared" si="2"/>
        <v>0</v>
      </c>
      <c r="AB12" s="24">
        <f>U12-AA12</f>
        <v>893120.5</v>
      </c>
      <c r="AC12" s="26">
        <f ca="1">AB12/Table24283089101314151623242532333435[[#This Row],[Unit Sum]]</f>
        <v>893.12049999999999</v>
      </c>
      <c r="AD12" s="24">
        <f>SUM(AD7:AD11)</f>
        <v>0</v>
      </c>
    </row>
    <row r="14" spans="1:31" x14ac:dyDescent="0.25">
      <c r="A14" t="s">
        <v>882</v>
      </c>
      <c r="R14" s="120" t="s">
        <v>20</v>
      </c>
      <c r="S14" s="121"/>
      <c r="T14" s="121"/>
      <c r="U14" s="50"/>
      <c r="V14" s="120" t="s">
        <v>67</v>
      </c>
      <c r="W14" s="121"/>
      <c r="X14" s="121"/>
      <c r="Y14" s="123" t="s">
        <v>13</v>
      </c>
      <c r="Z14" s="124" t="s">
        <v>10</v>
      </c>
      <c r="AA14" s="125" t="s">
        <v>66</v>
      </c>
      <c r="AB14" s="123" t="s">
        <v>15</v>
      </c>
      <c r="AC14" s="123" t="s">
        <v>18</v>
      </c>
      <c r="AD14" s="123" t="s">
        <v>12</v>
      </c>
    </row>
    <row r="15" spans="1:31" ht="75" x14ac:dyDescent="0.25">
      <c r="A15" s="1" t="s">
        <v>57</v>
      </c>
      <c r="B15" s="2" t="s">
        <v>0</v>
      </c>
      <c r="C15" s="2" t="s">
        <v>53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51</v>
      </c>
      <c r="I15" s="2" t="s">
        <v>6</v>
      </c>
      <c r="J15" s="16" t="s">
        <v>7</v>
      </c>
      <c r="K15" s="16" t="s">
        <v>8</v>
      </c>
      <c r="L15" s="2" t="s">
        <v>50</v>
      </c>
      <c r="M15" s="2" t="s">
        <v>14</v>
      </c>
      <c r="N15" s="2" t="s">
        <v>16</v>
      </c>
      <c r="O15" s="4" t="s">
        <v>17</v>
      </c>
      <c r="P15" s="3" t="s">
        <v>11</v>
      </c>
      <c r="R15" s="2" t="s">
        <v>65</v>
      </c>
      <c r="S15" s="2" t="s">
        <v>62</v>
      </c>
      <c r="T15" s="2" t="s">
        <v>5</v>
      </c>
      <c r="U15" s="2" t="s">
        <v>164</v>
      </c>
      <c r="V15" s="16" t="s">
        <v>64</v>
      </c>
      <c r="W15" s="16" t="s">
        <v>62</v>
      </c>
      <c r="X15" s="45" t="s">
        <v>9</v>
      </c>
      <c r="Y15" s="123"/>
      <c r="Z15" s="124"/>
      <c r="AA15" s="125"/>
      <c r="AB15" s="123"/>
      <c r="AC15" s="123"/>
      <c r="AD15" s="123"/>
    </row>
    <row r="16" spans="1:31" x14ac:dyDescent="0.25">
      <c r="A16" s="5">
        <v>1</v>
      </c>
      <c r="B16" s="6" t="s">
        <v>158</v>
      </c>
      <c r="C16" s="6"/>
      <c r="D16" s="7">
        <v>45886</v>
      </c>
      <c r="E16" s="8" t="s">
        <v>19</v>
      </c>
      <c r="F16" s="9">
        <v>1000</v>
      </c>
      <c r="G16" s="9"/>
      <c r="H16" s="9">
        <v>445000</v>
      </c>
      <c r="I16" s="9">
        <v>0</v>
      </c>
      <c r="J16" s="9"/>
      <c r="K16" s="9">
        <v>0</v>
      </c>
      <c r="L16" s="9">
        <v>0</v>
      </c>
      <c r="M16" s="9">
        <v>445000</v>
      </c>
      <c r="N16" s="9">
        <v>1000</v>
      </c>
      <c r="O16" s="42">
        <v>445</v>
      </c>
      <c r="P16" s="10">
        <v>0</v>
      </c>
      <c r="R16" s="17">
        <v>3070.5</v>
      </c>
      <c r="S16" s="17">
        <v>50</v>
      </c>
      <c r="T16" s="20">
        <v>3120.5</v>
      </c>
      <c r="U16" s="20">
        <v>893120.5</v>
      </c>
      <c r="V16" s="20">
        <v>0</v>
      </c>
      <c r="W16" s="20">
        <v>0</v>
      </c>
      <c r="X16" s="20">
        <v>0</v>
      </c>
      <c r="Y16" s="46">
        <v>0</v>
      </c>
      <c r="Z16" s="46">
        <v>0</v>
      </c>
      <c r="AA16" s="46">
        <v>0</v>
      </c>
      <c r="AB16" s="46">
        <v>893120.5</v>
      </c>
      <c r="AC16" s="46">
        <v>893.12049999999999</v>
      </c>
      <c r="AD16" s="56">
        <v>0</v>
      </c>
    </row>
    <row r="17" spans="1:30" x14ac:dyDescent="0.25">
      <c r="A17" s="95">
        <v>2</v>
      </c>
      <c r="B17" s="6" t="s">
        <v>158</v>
      </c>
      <c r="D17" s="7">
        <v>45897</v>
      </c>
      <c r="E17" s="8" t="s">
        <v>55</v>
      </c>
      <c r="F17" s="9">
        <v>1000</v>
      </c>
      <c r="G17" s="9">
        <f>H17/F17</f>
        <v>463.4975</v>
      </c>
      <c r="H17" s="9">
        <v>463497.5</v>
      </c>
      <c r="I17" s="9">
        <v>0</v>
      </c>
      <c r="J17" s="9">
        <f>IFERROR(Table24283089101314151623242532333435[[#This Row],[Sales Amt]]/Table24283089101314151623242532333435[[#This Row],[Sales Qty]],0)</f>
        <v>0</v>
      </c>
      <c r="K17" s="9">
        <v>0</v>
      </c>
      <c r="L17" s="9"/>
      <c r="M17" s="9">
        <f>M16+H17-L17</f>
        <v>908497.5</v>
      </c>
      <c r="N17" s="9">
        <f>N16+F17-I17</f>
        <v>2000</v>
      </c>
      <c r="O17" s="42">
        <f>M17/N17</f>
        <v>454.24874999999997</v>
      </c>
      <c r="P17" s="10"/>
      <c r="R17" s="17">
        <f>1533.72+69.52</f>
        <v>1603.24</v>
      </c>
      <c r="S17" s="17">
        <v>25</v>
      </c>
      <c r="T17" s="20">
        <f>R17+S17</f>
        <v>1628.24</v>
      </c>
      <c r="U17" s="20">
        <f>H17+T17</f>
        <v>465125.74</v>
      </c>
      <c r="V17" s="20">
        <v>0</v>
      </c>
      <c r="W17" s="20">
        <v>0</v>
      </c>
      <c r="X17" s="55">
        <f>V17+W17</f>
        <v>0</v>
      </c>
      <c r="Y17" s="20">
        <v>0</v>
      </c>
      <c r="Z17" s="20">
        <f>K17-X17-Y17</f>
        <v>0</v>
      </c>
      <c r="AA17" s="20">
        <f>I17*AC16</f>
        <v>0</v>
      </c>
      <c r="AB17" s="20">
        <f>AB16+U17-AA17</f>
        <v>1358246.24</v>
      </c>
      <c r="AC17" s="20">
        <f>IFERROR(AB17/N17,0)</f>
        <v>679.12311999999997</v>
      </c>
      <c r="AD17" s="56">
        <f>Z17-AA17+Y17</f>
        <v>0</v>
      </c>
    </row>
    <row r="18" spans="1:30" ht="30" x14ac:dyDescent="0.25">
      <c r="A18" s="11" t="s">
        <v>22</v>
      </c>
      <c r="B18" s="109" t="s">
        <v>158</v>
      </c>
      <c r="C18" s="12"/>
      <c r="D18" s="13"/>
      <c r="E18" s="14"/>
      <c r="F18" s="15">
        <f>SUM(F16:F17)</f>
        <v>2000</v>
      </c>
      <c r="G18" s="15"/>
      <c r="H18" s="15">
        <f>SUM(H16:H17)</f>
        <v>908497.5</v>
      </c>
      <c r="I18" s="15">
        <f ca="1">SUM(INDIRECT("i4:i"&amp;ROW()-1))</f>
        <v>0</v>
      </c>
      <c r="J18" s="15">
        <f>SUM(J17)</f>
        <v>0</v>
      </c>
      <c r="K18" s="15">
        <f ca="1">SUM(INDIRECT("k4:k"&amp;ROW()-1))</f>
        <v>0</v>
      </c>
      <c r="L18" s="15"/>
      <c r="M18" s="61">
        <f>H18-L18</f>
        <v>908497.5</v>
      </c>
      <c r="N18" s="15">
        <f ca="1">F18-I18</f>
        <v>2000</v>
      </c>
      <c r="O18" s="15">
        <f ca="1">M18/N18</f>
        <v>454.24874999999997</v>
      </c>
      <c r="P18" s="15">
        <f>SUM(P17)</f>
        <v>0</v>
      </c>
      <c r="R18" s="24">
        <f>SUM(R16:R17)</f>
        <v>4673.74</v>
      </c>
      <c r="S18" s="24">
        <f>SUM(S16:S17)</f>
        <v>75</v>
      </c>
      <c r="T18" s="24">
        <f>SUM(T16:T17)</f>
        <v>4748.74</v>
      </c>
      <c r="U18" s="24">
        <f>SUM(U16:U17)</f>
        <v>1358246.24</v>
      </c>
      <c r="V18" s="24">
        <f>SUM(V17)</f>
        <v>0</v>
      </c>
      <c r="W18" s="24">
        <f t="shared" ref="W18:AA18" si="3">SUM(W17)</f>
        <v>0</v>
      </c>
      <c r="X18" s="24">
        <f t="shared" si="3"/>
        <v>0</v>
      </c>
      <c r="Y18" s="24">
        <f t="shared" si="3"/>
        <v>0</v>
      </c>
      <c r="Z18" s="24">
        <f t="shared" si="3"/>
        <v>0</v>
      </c>
      <c r="AA18" s="24">
        <f t="shared" si="3"/>
        <v>0</v>
      </c>
      <c r="AB18" s="24">
        <f>U18-AA18</f>
        <v>1358246.24</v>
      </c>
      <c r="AC18" s="24">
        <f>AB18/F18</f>
        <v>679.12311999999997</v>
      </c>
      <c r="AD18" s="24">
        <f>SGIC!AG21</f>
        <v>0</v>
      </c>
    </row>
    <row r="20" spans="1:30" x14ac:dyDescent="0.25">
      <c r="A20" t="s">
        <v>918</v>
      </c>
      <c r="R20" s="120" t="s">
        <v>20</v>
      </c>
      <c r="S20" s="121"/>
      <c r="T20" s="121"/>
      <c r="U20" s="50"/>
      <c r="V20" s="120" t="s">
        <v>67</v>
      </c>
      <c r="W20" s="121"/>
      <c r="X20" s="121"/>
      <c r="Y20" s="123" t="s">
        <v>13</v>
      </c>
      <c r="Z20" s="124" t="s">
        <v>10</v>
      </c>
      <c r="AA20" s="125" t="s">
        <v>66</v>
      </c>
      <c r="AB20" s="123" t="s">
        <v>15</v>
      </c>
      <c r="AC20" s="123" t="s">
        <v>18</v>
      </c>
      <c r="AD20" s="123" t="s">
        <v>12</v>
      </c>
    </row>
    <row r="21" spans="1:30" ht="75" x14ac:dyDescent="0.25">
      <c r="A21" s="1" t="s">
        <v>57</v>
      </c>
      <c r="B21" s="2" t="s">
        <v>0</v>
      </c>
      <c r="C21" s="2" t="s">
        <v>53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51</v>
      </c>
      <c r="I21" s="2" t="s">
        <v>6</v>
      </c>
      <c r="J21" s="16" t="s">
        <v>7</v>
      </c>
      <c r="K21" s="16" t="s">
        <v>8</v>
      </c>
      <c r="L21" s="2" t="s">
        <v>50</v>
      </c>
      <c r="M21" s="2" t="s">
        <v>14</v>
      </c>
      <c r="N21" s="2" t="s">
        <v>16</v>
      </c>
      <c r="O21" s="4" t="s">
        <v>17</v>
      </c>
      <c r="P21" s="3" t="s">
        <v>11</v>
      </c>
      <c r="R21" s="2" t="s">
        <v>65</v>
      </c>
      <c r="S21" s="2" t="s">
        <v>62</v>
      </c>
      <c r="T21" s="2" t="s">
        <v>5</v>
      </c>
      <c r="U21" s="2" t="s">
        <v>164</v>
      </c>
      <c r="V21" s="16" t="s">
        <v>64</v>
      </c>
      <c r="W21" s="16" t="s">
        <v>62</v>
      </c>
      <c r="X21" s="45" t="s">
        <v>9</v>
      </c>
      <c r="Y21" s="123"/>
      <c r="Z21" s="124"/>
      <c r="AA21" s="125"/>
      <c r="AB21" s="123"/>
      <c r="AC21" s="123"/>
      <c r="AD21" s="123"/>
    </row>
    <row r="22" spans="1:30" x14ac:dyDescent="0.25">
      <c r="A22" s="5">
        <v>1</v>
      </c>
      <c r="B22" s="6" t="s">
        <v>158</v>
      </c>
      <c r="C22" s="6"/>
      <c r="D22" s="7">
        <v>45917</v>
      </c>
      <c r="E22" s="8" t="s">
        <v>19</v>
      </c>
      <c r="F22" s="9">
        <v>2000</v>
      </c>
      <c r="G22" s="9"/>
      <c r="H22" s="9">
        <v>908497.5</v>
      </c>
      <c r="I22" s="9">
        <v>0</v>
      </c>
      <c r="J22" s="9">
        <v>0</v>
      </c>
      <c r="K22" s="9">
        <v>0</v>
      </c>
      <c r="L22" s="9"/>
      <c r="M22" s="9">
        <v>908497.5</v>
      </c>
      <c r="N22" s="9">
        <v>2000</v>
      </c>
      <c r="O22" s="42">
        <v>454.24874999999997</v>
      </c>
      <c r="P22" s="10">
        <v>0</v>
      </c>
      <c r="R22" s="17">
        <v>4673.74</v>
      </c>
      <c r="S22" s="17">
        <v>75</v>
      </c>
      <c r="T22" s="20">
        <v>4748.74</v>
      </c>
      <c r="U22" s="20">
        <v>1358246.24</v>
      </c>
      <c r="V22" s="20">
        <v>0</v>
      </c>
      <c r="W22" s="20">
        <v>0</v>
      </c>
      <c r="X22" s="20">
        <v>0</v>
      </c>
      <c r="Y22" s="46">
        <v>0</v>
      </c>
      <c r="Z22" s="46">
        <v>0</v>
      </c>
      <c r="AA22" s="46">
        <v>0</v>
      </c>
      <c r="AB22" s="46">
        <v>1358246.24</v>
      </c>
      <c r="AC22" s="46">
        <v>679.12311999999997</v>
      </c>
      <c r="AD22" s="56">
        <v>0</v>
      </c>
    </row>
  </sheetData>
  <mergeCells count="24">
    <mergeCell ref="AB14:AB15"/>
    <mergeCell ref="AC14:AC15"/>
    <mergeCell ref="AD14:AD15"/>
    <mergeCell ref="R14:T14"/>
    <mergeCell ref="V14:X14"/>
    <mergeCell ref="Y14:Y15"/>
    <mergeCell ref="Z14:Z15"/>
    <mergeCell ref="AA14:AA15"/>
    <mergeCell ref="R5:T5"/>
    <mergeCell ref="AC5:AC6"/>
    <mergeCell ref="AD5:AD6"/>
    <mergeCell ref="V5:X5"/>
    <mergeCell ref="Y5:Y6"/>
    <mergeCell ref="Z5:Z6"/>
    <mergeCell ref="AA5:AA6"/>
    <mergeCell ref="AB5:AB6"/>
    <mergeCell ref="AB20:AB21"/>
    <mergeCell ref="AC20:AC21"/>
    <mergeCell ref="AD20:AD21"/>
    <mergeCell ref="R20:T20"/>
    <mergeCell ref="V20:X20"/>
    <mergeCell ref="Y20:Y21"/>
    <mergeCell ref="Z20:Z21"/>
    <mergeCell ref="AA20:AA2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6E4F3A-5AAF-4092-AEC5-1E8F99B2B210}">
          <x14:formula1>
            <xm:f>VALIDATION!$A$2:$A$7</xm:f>
          </x14:formula1>
          <xm:sqref>E7:E11 E16:E17 E22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1CD1D-30F8-4D0F-9A9B-A029C769368D}">
  <dimension ref="A1:AE25"/>
  <sheetViews>
    <sheetView topLeftCell="A7" workbookViewId="0">
      <selection activeCell="A25" sqref="A25"/>
    </sheetView>
  </sheetViews>
  <sheetFormatPr defaultRowHeight="15" x14ac:dyDescent="0.25"/>
  <cols>
    <col min="1" max="1" width="31.5703125" bestFit="1" customWidth="1"/>
    <col min="2" max="2" width="6.85546875" bestFit="1" customWidth="1"/>
    <col min="3" max="3" width="18.28515625" bestFit="1" customWidth="1"/>
    <col min="4" max="4" width="10.28515625" bestFit="1" customWidth="1"/>
    <col min="5" max="5" width="8.85546875" bestFit="1" customWidth="1"/>
    <col min="6" max="6" width="12.140625" bestFit="1" customWidth="1"/>
    <col min="7" max="7" width="8.7109375" bestFit="1" customWidth="1"/>
    <col min="8" max="8" width="14.85546875" bestFit="1" customWidth="1"/>
    <col min="9" max="9" width="10.42578125" bestFit="1" customWidth="1"/>
    <col min="10" max="10" width="9.42578125" bestFit="1" customWidth="1"/>
    <col min="11" max="11" width="10.85546875" bestFit="1" customWidth="1"/>
    <col min="12" max="12" width="12.42578125" bestFit="1" customWidth="1"/>
    <col min="13" max="13" width="14.85546875" bestFit="1" customWidth="1"/>
    <col min="14" max="14" width="12.140625" bestFit="1" customWidth="1"/>
    <col min="15" max="15" width="10.28515625" bestFit="1" customWidth="1"/>
    <col min="16" max="16" width="14" bestFit="1" customWidth="1"/>
    <col min="17" max="17" width="13.85546875" bestFit="1" customWidth="1"/>
    <col min="18" max="18" width="12.85546875" bestFit="1" customWidth="1"/>
    <col min="19" max="19" width="9.5703125" bestFit="1" customWidth="1"/>
    <col min="20" max="20" width="12.85546875" bestFit="1" customWidth="1"/>
    <col min="21" max="21" width="15.5703125" customWidth="1"/>
    <col min="22" max="23" width="9.140625" bestFit="1" customWidth="1"/>
    <col min="24" max="24" width="10.7109375" bestFit="1" customWidth="1"/>
    <col min="25" max="25" width="17.140625" bestFit="1" customWidth="1"/>
    <col min="26" max="26" width="17.7109375" bestFit="1" customWidth="1"/>
    <col min="27" max="27" width="34.5703125" bestFit="1" customWidth="1"/>
    <col min="28" max="28" width="15.5703125" bestFit="1" customWidth="1"/>
    <col min="29" max="29" width="14.7109375" bestFit="1" customWidth="1"/>
    <col min="30" max="30" width="11.8554687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156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Table242830891013141516232425323334[[#This Row],[Purchase QTY]]*Table242830891013141516232425323334[[#This Row],[PPPU]]</f>
        <v>0</v>
      </c>
      <c r="I7" s="9"/>
      <c r="J7" s="9"/>
      <c r="K7" s="9"/>
      <c r="L7" s="9"/>
      <c r="M7" s="9">
        <f>Table242830891013141516232425323334[[#This Row],[Total Purchase Amount]]</f>
        <v>0</v>
      </c>
      <c r="N7" s="9">
        <f>IF(Table242830891013141516232425323334[[#This Row],[Txn Type]]="opening",Table242830891013141516232425323334[[#This Row],[Purchase QTY]],"Error")</f>
        <v>0</v>
      </c>
      <c r="O7" s="42">
        <f>IFERROR(Table242830891013141516232425323334[[#This Row],[TC AP NFRS]]/Table242830891013141516232425323334[[#This Row],[Unit Sum]],0)</f>
        <v>0</v>
      </c>
      <c r="P7" s="10">
        <f>Table242830891013141516232425323334[[#This Row],[Sales Amt]]-Table242830891013141516232425323334[[#This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1" x14ac:dyDescent="0.25">
      <c r="A8" s="5">
        <f>A7+1</f>
        <v>2</v>
      </c>
      <c r="B8" s="6" t="s">
        <v>156</v>
      </c>
      <c r="C8" s="6" t="s">
        <v>157</v>
      </c>
      <c r="D8" s="7">
        <v>45876</v>
      </c>
      <c r="E8" s="8" t="s">
        <v>55</v>
      </c>
      <c r="F8" s="9">
        <v>1000</v>
      </c>
      <c r="G8" s="9">
        <f>Table242830891013141516232425323334[[#This Row],[Total Purchase Amount]]/Table242830891013141516232425323334[[#This Row],[Purchase QTY]]</f>
        <v>532</v>
      </c>
      <c r="H8" s="9">
        <v>532000</v>
      </c>
      <c r="I8" s="9">
        <v>0</v>
      </c>
      <c r="J8" s="9">
        <f>IFERROR(Table242830891013141516232425323334[[#This Row],[Sales Amt]]/Table242830891013141516232425323334[[#This Row],[Sales Qty]],0)</f>
        <v>0</v>
      </c>
      <c r="K8" s="9">
        <v>0</v>
      </c>
      <c r="L8" s="9">
        <f>Table242830891013141516232425323334[[#This Row],[Sales Qty]]*O7</f>
        <v>0</v>
      </c>
      <c r="M8" s="9">
        <f>M7+Table242830891013141516232425323334[[#This Row],[Total Purchase Amount]]-Table242830891013141516232425323334[[#This Row],[Principal Cost As per  NFRS (In case of Sales)]]</f>
        <v>532000</v>
      </c>
      <c r="N8" s="9">
        <f>N7+Table242830891013141516232425323334[[#This Row],[Purchase QTY]]-Table242830891013141516232425323334[[#This Row],[Sales Qty]]</f>
        <v>1000</v>
      </c>
      <c r="O8" s="42">
        <f>IFERROR(Table242830891013141516232425323334[[#This Row],[TC AP NFRS]]/Table242830891013141516232425323334[[#This Row],[Unit Sum]],0)</f>
        <v>532</v>
      </c>
      <c r="P8" s="10">
        <f>Table242830891013141516232425323334[[#This Row],[Sales Amt]]-Table242830891013141516232425323334[[#This Row],[Principal Cost As per  NFRS (In case of Sales)]]</f>
        <v>0</v>
      </c>
      <c r="R8" s="17">
        <f>79.8+1755.6</f>
        <v>1835.3999999999999</v>
      </c>
      <c r="S8" s="17">
        <v>25</v>
      </c>
      <c r="T8" s="20">
        <f>R8+S8</f>
        <v>1860.3999999999999</v>
      </c>
      <c r="U8" s="20">
        <f>H8+T8</f>
        <v>533860.4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533860.4</v>
      </c>
      <c r="AC8" s="20">
        <f>IFERROR(AB8/N8,0)</f>
        <v>533.86040000000003</v>
      </c>
      <c r="AD8" s="56">
        <f>Z8-AA8+Y8</f>
        <v>0</v>
      </c>
    </row>
    <row r="9" spans="1:31" hidden="1" x14ac:dyDescent="0.25">
      <c r="A9" s="5">
        <f t="shared" ref="A9:A15" si="0">A8+1</f>
        <v>3</v>
      </c>
      <c r="B9" s="6"/>
      <c r="C9" s="6"/>
      <c r="D9" s="7"/>
      <c r="E9" s="8"/>
      <c r="F9" s="9"/>
      <c r="G9" s="9">
        <f>IF(Table242830891013141516232425323334[[#This Row],[SPPU]]&gt;=0,0,Table242830891013141516232425323334[[#This Row],[Total Purchase Amount]]/Table242830891013141516232425323334[[#This Row],[Purchase QTY]])</f>
        <v>0</v>
      </c>
      <c r="H9" s="9"/>
      <c r="I9" s="9"/>
      <c r="J9" s="9">
        <f>IFERROR(Table242830891013141516232425323334[[#This Row],[Sales Amt]]/Table242830891013141516232425323334[[#This Row],[Sales Qty]],0)</f>
        <v>0</v>
      </c>
      <c r="K9" s="9"/>
      <c r="L9" s="9">
        <f>Table242830891013141516232425323334[[#This Row],[Sales Qty]]*O8</f>
        <v>0</v>
      </c>
      <c r="M9" s="9">
        <f>M8+Table242830891013141516232425323334[[#This Row],[Total Purchase Amount]]-Table242830891013141516232425323334[[#This Row],[Principal Cost As per  NFRS (In case of Sales)]]</f>
        <v>532000</v>
      </c>
      <c r="N9" s="9">
        <f>N8+Table242830891013141516232425323334[[#This Row],[Purchase QTY]]-Table242830891013141516232425323334[[#This Row],[Sales Qty]]</f>
        <v>1000</v>
      </c>
      <c r="O9" s="42">
        <f>IFERROR(Table242830891013141516232425323334[[#This Row],[TC AP NFRS]]/Table242830891013141516232425323334[[#This Row],[Unit Sum]],0)</f>
        <v>532</v>
      </c>
      <c r="P9" s="10">
        <f>Table242830891013141516232425323334[[#This Row],[Sales Amt]]-Table242830891013141516232425323334[[#This Row],[Principal Cost As per  NFRS (In case of Sales)]]</f>
        <v>0</v>
      </c>
      <c r="R9" s="17">
        <v>0</v>
      </c>
      <c r="S9" s="17"/>
      <c r="T9" s="20">
        <f t="shared" ref="T9:T15" si="1">R9+S9</f>
        <v>0</v>
      </c>
      <c r="U9" s="20">
        <f t="shared" ref="U9:U15" si="2">H9+T9</f>
        <v>0</v>
      </c>
      <c r="V9" s="20">
        <v>0</v>
      </c>
      <c r="W9" s="20">
        <v>0</v>
      </c>
      <c r="X9" s="55">
        <f t="shared" ref="X9:X15" si="3">V9+W9</f>
        <v>0</v>
      </c>
      <c r="Y9" s="20">
        <v>0</v>
      </c>
      <c r="Z9" s="20">
        <f t="shared" ref="Z9:Z15" si="4">K9-X9-Y9</f>
        <v>0</v>
      </c>
      <c r="AA9" s="20">
        <f t="shared" ref="AA9:AA15" si="5">I9*AC8</f>
        <v>0</v>
      </c>
      <c r="AB9" s="20">
        <f t="shared" ref="AB9:AB15" si="6">AB8+U9-AA9</f>
        <v>533860.4</v>
      </c>
      <c r="AC9" s="20">
        <f t="shared" ref="AC9:AC16" si="7">IFERROR(AB9/N9,0)</f>
        <v>533.86040000000003</v>
      </c>
      <c r="AD9" s="56">
        <f t="shared" ref="AD9:AD15" si="8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IF(Table242830891013141516232425323334[[#This Row],[SPPU]]&gt;=0,0,Table242830891013141516232425323334[[#This Row],[Total Purchase Amount]]/Table242830891013141516232425323334[[#This Row],[Purchase QTY]])</f>
        <v>0</v>
      </c>
      <c r="H10" s="9"/>
      <c r="I10" s="9">
        <v>0</v>
      </c>
      <c r="J10" s="9">
        <f>IFERROR(Table242830891013141516232425323334[[#This Row],[Sales Amt]]/Table242830891013141516232425323334[[#This Row],[Sales Qty]],0)</f>
        <v>0</v>
      </c>
      <c r="K10" s="9">
        <v>0</v>
      </c>
      <c r="L10" s="9">
        <f>Table242830891013141516232425323334[[#This Row],[Sales Qty]]*O9</f>
        <v>0</v>
      </c>
      <c r="M10" s="9">
        <f>M9+Table242830891013141516232425323334[[#This Row],[Total Purchase Amount]]-Table242830891013141516232425323334[[#This Row],[Principal Cost As per  NFRS (In case of Sales)]]</f>
        <v>532000</v>
      </c>
      <c r="N10" s="9">
        <f>N9+Table242830891013141516232425323334[[#This Row],[Purchase QTY]]-Table242830891013141516232425323334[[#This Row],[Sales Qty]]</f>
        <v>1000</v>
      </c>
      <c r="O10" s="42">
        <f>IFERROR(Table242830891013141516232425323334[[#This Row],[TC AP NFRS]]/Table242830891013141516232425323334[[#This Row],[Unit Sum]],0)</f>
        <v>532</v>
      </c>
      <c r="P10" s="10">
        <f>Table242830891013141516232425323334[[#This Row],[Sales Amt]]-Table242830891013141516232425323334[[#This Row],[Principal Cost As per  NFRS (In case of Sales)]]</f>
        <v>0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v>0</v>
      </c>
      <c r="W10" s="20">
        <v>0</v>
      </c>
      <c r="X10" s="55">
        <f t="shared" si="3"/>
        <v>0</v>
      </c>
      <c r="Y10" s="20">
        <v>0</v>
      </c>
      <c r="Z10" s="20">
        <f t="shared" si="4"/>
        <v>0</v>
      </c>
      <c r="AA10" s="20">
        <f t="shared" si="5"/>
        <v>0</v>
      </c>
      <c r="AB10" s="20">
        <f t="shared" si="6"/>
        <v>533860.4</v>
      </c>
      <c r="AC10" s="20">
        <f t="shared" si="7"/>
        <v>533.86040000000003</v>
      </c>
      <c r="AD10" s="56">
        <f t="shared" si="8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>
        <v>0</v>
      </c>
      <c r="G11" s="9" t="e">
        <f>Table242830891013141516232425323334[[#This Row],[Total Purchase Amount]]/Table242830891013141516232425323334[[#This Row],[Purchase QTY]]</f>
        <v>#DIV/0!</v>
      </c>
      <c r="H11" s="9">
        <v>0</v>
      </c>
      <c r="I11" s="9">
        <v>0</v>
      </c>
      <c r="J11" s="9">
        <f ca="1">IFERROR(Table242830891013141516232425323334[[#This Row],[Sales Amt]]/Table242830891013141516232425323334[[#This Row],[Sales Qty]],0)</f>
        <v>0</v>
      </c>
      <c r="K11" s="9">
        <f ca="1">Table242830891013141516232425323334[[#This Row],[Sales Qty]]*Table242830891013141516232425323334[[#This Row],[SPPU]]</f>
        <v>0</v>
      </c>
      <c r="L11" s="9">
        <f>Table242830891013141516232425323334[[#This Row],[Sales Qty]]*O10</f>
        <v>0</v>
      </c>
      <c r="M11" s="9">
        <f>M10+Table242830891013141516232425323334[[#This Row],[Total Purchase Amount]]-Table242830891013141516232425323334[[#This Row],[Principal Cost As per  NFRS (In case of Sales)]]</f>
        <v>532000</v>
      </c>
      <c r="N11" s="9">
        <f>N10+Table242830891013141516232425323334[[#This Row],[Purchase QTY]]-Table242830891013141516232425323334[[#This Row],[Sales Qty]]</f>
        <v>1000</v>
      </c>
      <c r="O11" s="42">
        <f>IFERROR(Table242830891013141516232425323334[[#This Row],[TC AP NFRS]]/Table242830891013141516232425323334[[#This Row],[Unit Sum]],0)</f>
        <v>532</v>
      </c>
      <c r="P11" s="10">
        <f ca="1">Table242830891013141516232425323334[[#This Row],[Sales Amt]]-Table242830891013141516232425323334[[#This Row],[Principal Cost As per  NFRS (In case of Sales)]]</f>
        <v>0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v>0</v>
      </c>
      <c r="W11" s="20">
        <v>0</v>
      </c>
      <c r="X11" s="55">
        <f t="shared" si="3"/>
        <v>0</v>
      </c>
      <c r="Y11" s="20">
        <v>0</v>
      </c>
      <c r="Z11" s="20">
        <f t="shared" ca="1" si="4"/>
        <v>0</v>
      </c>
      <c r="AA11" s="20">
        <f t="shared" si="5"/>
        <v>0</v>
      </c>
      <c r="AB11" s="20">
        <f t="shared" si="6"/>
        <v>533860.4</v>
      </c>
      <c r="AC11" s="20">
        <f t="shared" si="7"/>
        <v>533.86040000000003</v>
      </c>
      <c r="AD11" s="56">
        <f t="shared" ca="1" si="8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Table242830891013141516232425323334[[#This Row],[Total Purchase Amount]]/Table242830891013141516232425323334[[#This Row],[Purchase QTY]]</f>
        <v>#DIV/0!</v>
      </c>
      <c r="H12" s="9">
        <v>0</v>
      </c>
      <c r="I12" s="9">
        <v>0</v>
      </c>
      <c r="J12" s="9">
        <f ca="1">IFERROR(Table242830891013141516232425323334[[#This Row],[Sales Amt]]/Table242830891013141516232425323334[[#This Row],[Sales Qty]],0)</f>
        <v>0</v>
      </c>
      <c r="K12" s="9">
        <f ca="1">Table242830891013141516232425323334[[#This Row],[Sales Qty]]*Table242830891013141516232425323334[[#This Row],[SPPU]]</f>
        <v>0</v>
      </c>
      <c r="L12" s="9">
        <f>Table242830891013141516232425323334[[#This Row],[Sales Qty]]*O11</f>
        <v>0</v>
      </c>
      <c r="M12" s="9">
        <f>M11+Table242830891013141516232425323334[[#This Row],[Total Purchase Amount]]-Table242830891013141516232425323334[[#This Row],[Principal Cost As per  NFRS (In case of Sales)]]</f>
        <v>532000</v>
      </c>
      <c r="N12" s="9">
        <f>N11+Table242830891013141516232425323334[[#This Row],[Purchase QTY]]-Table242830891013141516232425323334[[#This Row],[Sales Qty]]</f>
        <v>1000</v>
      </c>
      <c r="O12" s="42">
        <f>IFERROR(Table242830891013141516232425323334[[#This Row],[TC AP NFRS]]/Table242830891013141516232425323334[[#This Row],[Unit Sum]],0)</f>
        <v>532</v>
      </c>
      <c r="P12" s="10">
        <f ca="1">Table242830891013141516232425323334[[#This Row],[Sales Amt]]-Table242830891013141516232425323334[[#This Row],[Principal Cost As per  NFRS (In case of Sales)]]</f>
        <v>0</v>
      </c>
      <c r="R12" s="17">
        <v>0</v>
      </c>
      <c r="S12" s="17"/>
      <c r="T12" s="20">
        <f t="shared" si="1"/>
        <v>0</v>
      </c>
      <c r="U12" s="20">
        <f t="shared" si="2"/>
        <v>0</v>
      </c>
      <c r="V12" s="20">
        <v>0</v>
      </c>
      <c r="W12" s="20">
        <v>0</v>
      </c>
      <c r="X12" s="55">
        <f t="shared" si="3"/>
        <v>0</v>
      </c>
      <c r="Y12" s="20">
        <v>0</v>
      </c>
      <c r="Z12" s="20">
        <f t="shared" ca="1" si="4"/>
        <v>0</v>
      </c>
      <c r="AA12" s="20">
        <f t="shared" si="5"/>
        <v>0</v>
      </c>
      <c r="AB12" s="20">
        <f t="shared" si="6"/>
        <v>533860.4</v>
      </c>
      <c r="AC12" s="20">
        <f t="shared" si="7"/>
        <v>533.86040000000003</v>
      </c>
      <c r="AD12" s="56">
        <f t="shared" ca="1" si="8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/>
      <c r="G13" s="9">
        <f>IF(Table242830891013141516232425323334[[#This Row],[SPPU]]&gt;=0,0,Table242830891013141516232425323334[[#This Row],[Total Purchase Amount]]/Table242830891013141516232425323334[[#This Row],[Purchase QTY]])</f>
        <v>0</v>
      </c>
      <c r="H13" s="9"/>
      <c r="I13" s="9">
        <v>0</v>
      </c>
      <c r="J13" s="9">
        <f>IFERROR(Table242830891013141516232425323334[[#This Row],[Sales Amt]]/Table242830891013141516232425323334[[#This Row],[Sales Qty]],0)</f>
        <v>0</v>
      </c>
      <c r="K13" s="9">
        <v>0</v>
      </c>
      <c r="L13" s="9">
        <f>Table242830891013141516232425323334[[#This Row],[Sales Qty]]*O11</f>
        <v>0</v>
      </c>
      <c r="M13" s="9">
        <f>M12+Table242830891013141516232425323334[[#This Row],[Total Purchase Amount]]-Table242830891013141516232425323334[[#This Row],[Principal Cost As per  NFRS (In case of Sales)]]</f>
        <v>532000</v>
      </c>
      <c r="N13" s="9">
        <f>N12+Table242830891013141516232425323334[[#This Row],[Purchase QTY]]-Table242830891013141516232425323334[[#This Row],[Sales Qty]]</f>
        <v>1000</v>
      </c>
      <c r="O13" s="42">
        <f>IFERROR(Table242830891013141516232425323334[[#This Row],[TC AP NFRS]]/Table242830891013141516232425323334[[#This Row],[Unit Sum]],0)</f>
        <v>532</v>
      </c>
      <c r="P13" s="10">
        <f>Table242830891013141516232425323334[[#This Row],[Sales Amt]]-Table242830891013141516232425323334[[#This Row],[Principal Cost As per  NFRS (In case of Sales)]]</f>
        <v>0</v>
      </c>
      <c r="R13" s="17">
        <v>0</v>
      </c>
      <c r="S13" s="17"/>
      <c r="T13" s="20">
        <f t="shared" si="1"/>
        <v>0</v>
      </c>
      <c r="U13" s="20">
        <f t="shared" si="2"/>
        <v>0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si="4"/>
        <v>0</v>
      </c>
      <c r="AA13" s="20">
        <f t="shared" si="5"/>
        <v>0</v>
      </c>
      <c r="AB13" s="20">
        <f t="shared" si="6"/>
        <v>533860.4</v>
      </c>
      <c r="AC13" s="20">
        <f t="shared" si="7"/>
        <v>533.86040000000003</v>
      </c>
      <c r="AD13" s="56">
        <f t="shared" si="8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IF(Table242830891013141516232425323334[[#This Row],[SPPU]]&gt;=0,0,Table242830891013141516232425323334[[#This Row],[Total Purchase Amount]]/Table242830891013141516232425323334[[#This Row],[Purchase QTY]])</f>
        <v>0</v>
      </c>
      <c r="H14" s="9"/>
      <c r="I14" s="9">
        <v>0</v>
      </c>
      <c r="J14" s="9">
        <f>IFERROR(Table242830891013141516232425323334[[#This Row],[Sales Amt]]/Table242830891013141516232425323334[[#This Row],[Sales Qty]],0)</f>
        <v>0</v>
      </c>
      <c r="K14" s="9">
        <v>0</v>
      </c>
      <c r="L14" s="9">
        <f>Table242830891013141516232425323334[[#This Row],[Sales Qty]]*O13</f>
        <v>0</v>
      </c>
      <c r="M14" s="9">
        <f>M13+Table242830891013141516232425323334[[#This Row],[Total Purchase Amount]]-Table242830891013141516232425323334[[#This Row],[Principal Cost As per  NFRS (In case of Sales)]]</f>
        <v>532000</v>
      </c>
      <c r="N14" s="9">
        <f>N13+Table242830891013141516232425323334[[#This Row],[Purchase QTY]]-Table242830891013141516232425323334[[#This Row],[Sales Qty]]</f>
        <v>1000</v>
      </c>
      <c r="O14" s="42">
        <f>IFERROR(Table242830891013141516232425323334[[#This Row],[TC AP NFRS]]/Table242830891013141516232425323334[[#This Row],[Unit Sum]],0)</f>
        <v>532</v>
      </c>
      <c r="P14" s="10">
        <f>Table242830891013141516232425323334[[#This Row],[Sales Amt]]-Table242830891013141516232425323334[[#This Row],[Principal Cost As per  NFRS (In case of Sales)]]</f>
        <v>0</v>
      </c>
      <c r="R14" s="17">
        <v>0</v>
      </c>
      <c r="S14" s="17"/>
      <c r="T14" s="20">
        <f t="shared" si="1"/>
        <v>0</v>
      </c>
      <c r="U14" s="20">
        <f t="shared" si="2"/>
        <v>0</v>
      </c>
      <c r="V14" s="20">
        <v>0</v>
      </c>
      <c r="W14" s="20">
        <v>0</v>
      </c>
      <c r="X14" s="55">
        <f t="shared" si="3"/>
        <v>0</v>
      </c>
      <c r="Y14" s="20">
        <v>0</v>
      </c>
      <c r="Z14" s="20">
        <f t="shared" si="4"/>
        <v>0</v>
      </c>
      <c r="AA14" s="20">
        <f t="shared" si="5"/>
        <v>0</v>
      </c>
      <c r="AB14" s="20">
        <f t="shared" si="6"/>
        <v>533860.4</v>
      </c>
      <c r="AC14" s="20">
        <f t="shared" si="7"/>
        <v>533.86040000000003</v>
      </c>
      <c r="AD14" s="56">
        <f t="shared" si="8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IF(Table242830891013141516232425323334[[#This Row],[SPPU]]&gt;=0,0,Table242830891013141516232425323334[[#This Row],[Total Purchase Amount]]/Table242830891013141516232425323334[[#This Row],[Purchase QTY]])</f>
        <v>0</v>
      </c>
      <c r="H15" s="9"/>
      <c r="I15" s="9">
        <v>0</v>
      </c>
      <c r="J15" s="9">
        <f>IFERROR(Table242830891013141516232425323334[[#This Row],[Sales Amt]]/Table242830891013141516232425323334[[#This Row],[Sales Qty]],0)</f>
        <v>0</v>
      </c>
      <c r="K15" s="9">
        <v>0</v>
      </c>
      <c r="L15" s="9">
        <f>Table242830891013141516232425323334[[#This Row],[Sales Qty]]*O14</f>
        <v>0</v>
      </c>
      <c r="M15" s="9">
        <f>M14+Table242830891013141516232425323334[[#This Row],[Total Purchase Amount]]-Table242830891013141516232425323334[[#This Row],[Principal Cost As per  NFRS (In case of Sales)]]</f>
        <v>532000</v>
      </c>
      <c r="N15" s="9">
        <f>N14+Table242830891013141516232425323334[[#This Row],[Purchase QTY]]-Table242830891013141516232425323334[[#This Row],[Sales Qty]]</f>
        <v>1000</v>
      </c>
      <c r="O15" s="42">
        <f>IFERROR(Table242830891013141516232425323334[[#This Row],[TC AP NFRS]]/Table242830891013141516232425323334[[#This Row],[Unit Sum]],0)</f>
        <v>532</v>
      </c>
      <c r="P15" s="10">
        <f>Table242830891013141516232425323334[[#This Row],[Sales Amt]]-Table242830891013141516232425323334[[#This Row],[Principal Cost As per  NFRS (In case of Sales)]]</f>
        <v>0</v>
      </c>
      <c r="R15" s="17">
        <v>0</v>
      </c>
      <c r="S15" s="17"/>
      <c r="T15" s="20">
        <f t="shared" si="1"/>
        <v>0</v>
      </c>
      <c r="U15" s="20">
        <f t="shared" si="2"/>
        <v>0</v>
      </c>
      <c r="V15" s="20">
        <v>0</v>
      </c>
      <c r="W15" s="20">
        <v>0</v>
      </c>
      <c r="X15" s="55">
        <f t="shared" si="3"/>
        <v>0</v>
      </c>
      <c r="Y15" s="20">
        <v>0</v>
      </c>
      <c r="Z15" s="20">
        <f t="shared" si="4"/>
        <v>0</v>
      </c>
      <c r="AA15" s="20">
        <f t="shared" si="5"/>
        <v>0</v>
      </c>
      <c r="AB15" s="20">
        <f t="shared" si="6"/>
        <v>533860.4</v>
      </c>
      <c r="AC15" s="20">
        <f t="shared" si="7"/>
        <v>533.86040000000003</v>
      </c>
      <c r="AD15" s="56">
        <f t="shared" si="8"/>
        <v>0</v>
      </c>
    </row>
    <row r="16" spans="1:31" ht="15.75" x14ac:dyDescent="0.25">
      <c r="A16" s="11" t="s">
        <v>22</v>
      </c>
      <c r="B16" s="12"/>
      <c r="C16" s="12"/>
      <c r="D16" s="13"/>
      <c r="E16" s="14"/>
      <c r="F16" s="15">
        <f ca="1">SUM(INDIRECT("f4:f"&amp;ROW()-1))</f>
        <v>1000</v>
      </c>
      <c r="G16" s="15"/>
      <c r="H16" s="15">
        <f ca="1">SUM(INDIRECT("h4:h"&amp;ROW()-1))</f>
        <v>532000</v>
      </c>
      <c r="I16" s="15">
        <f ca="1">SUM(INDIRECT("i4:i"&amp;ROW()-1))</f>
        <v>0</v>
      </c>
      <c r="J16" s="15" t="e">
        <f ca="1">Table242830891013141516232425323334[[#This Row],[Sales Amt]]/Table242830891013141516232425323334[[#This Row],[Sales Qty]]</f>
        <v>#DIV/0!</v>
      </c>
      <c r="K16" s="15">
        <f>SUM(K7:K9)</f>
        <v>0</v>
      </c>
      <c r="L16" s="15">
        <f ca="1">SUM(INDIRECT("i4:i"&amp;ROW()-1))</f>
        <v>0</v>
      </c>
      <c r="M16" s="15">
        <f ca="1">Table242830891013141516232425323334[[#This Row],[Total Purchase Amount]]-Table242830891013141516232425323334[[#This Row],[Principal Cost As per  NFRS (In case of Sales)]]</f>
        <v>532000</v>
      </c>
      <c r="N16" s="15">
        <f ca="1">Table242830891013141516232425323334[[#This Row],[Purchase QTY]]-Table242830891013141516232425323334[[#This Row],[Sales Qty]]</f>
        <v>1000</v>
      </c>
      <c r="O16" s="43">
        <f ca="1">Table242830891013141516232425323334[[#This Row],[TC AP NFRS]]/Table242830891013141516232425323334[[#This Row],[Unit Sum]]</f>
        <v>532</v>
      </c>
      <c r="P16" s="15">
        <f ca="1">SUM(INDIRECT("p4:p"&amp;ROW()-1))</f>
        <v>0</v>
      </c>
      <c r="R16" s="24">
        <f>SUM(R7:R15)</f>
        <v>1835.3999999999999</v>
      </c>
      <c r="S16" s="24">
        <f t="shared" ref="S16:AD16" si="9">SUM(S7:S15)</f>
        <v>25</v>
      </c>
      <c r="T16" s="24">
        <f>SUM(T7:T15)</f>
        <v>1860.3999999999999</v>
      </c>
      <c r="U16" s="24">
        <f>SUM(U7:U15)</f>
        <v>533860.4</v>
      </c>
      <c r="V16" s="24">
        <f t="shared" si="9"/>
        <v>0</v>
      </c>
      <c r="W16" s="24">
        <f t="shared" si="9"/>
        <v>0</v>
      </c>
      <c r="X16" s="24">
        <f t="shared" si="9"/>
        <v>0</v>
      </c>
      <c r="Y16" s="24">
        <f t="shared" si="9"/>
        <v>0</v>
      </c>
      <c r="Z16" s="24">
        <f t="shared" ca="1" si="9"/>
        <v>0</v>
      </c>
      <c r="AA16" s="24">
        <f t="shared" si="9"/>
        <v>0</v>
      </c>
      <c r="AB16" s="24">
        <f>U16-AA16</f>
        <v>533860.4</v>
      </c>
      <c r="AC16" s="24">
        <f t="shared" ca="1" si="7"/>
        <v>533.86040000000003</v>
      </c>
      <c r="AD16" s="24">
        <f t="shared" ca="1" si="9"/>
        <v>0</v>
      </c>
    </row>
    <row r="18" spans="1:30" x14ac:dyDescent="0.25">
      <c r="A18" t="s">
        <v>882</v>
      </c>
      <c r="R18" s="120" t="s">
        <v>20</v>
      </c>
      <c r="S18" s="121"/>
      <c r="T18" s="121"/>
      <c r="U18" s="50"/>
      <c r="V18" s="120" t="s">
        <v>67</v>
      </c>
      <c r="W18" s="121"/>
      <c r="X18" s="121"/>
      <c r="Y18" s="123" t="s">
        <v>13</v>
      </c>
      <c r="Z18" s="124" t="s">
        <v>10</v>
      </c>
      <c r="AA18" s="125" t="s">
        <v>66</v>
      </c>
      <c r="AB18" s="123" t="s">
        <v>15</v>
      </c>
      <c r="AC18" s="123" t="s">
        <v>18</v>
      </c>
      <c r="AD18" s="123" t="s">
        <v>12</v>
      </c>
    </row>
    <row r="19" spans="1:30" ht="75" x14ac:dyDescent="0.25">
      <c r="A19" s="1" t="s">
        <v>57</v>
      </c>
      <c r="B19" s="2" t="s">
        <v>0</v>
      </c>
      <c r="C19" s="2" t="s">
        <v>53</v>
      </c>
      <c r="D19" s="2" t="s">
        <v>1</v>
      </c>
      <c r="E19" s="2" t="s">
        <v>2</v>
      </c>
      <c r="F19" s="2" t="s">
        <v>3</v>
      </c>
      <c r="G19" s="2" t="s">
        <v>4</v>
      </c>
      <c r="H19" s="2" t="s">
        <v>51</v>
      </c>
      <c r="I19" s="2" t="s">
        <v>6</v>
      </c>
      <c r="J19" s="16" t="s">
        <v>7</v>
      </c>
      <c r="K19" s="16" t="s">
        <v>8</v>
      </c>
      <c r="L19" s="2" t="s">
        <v>50</v>
      </c>
      <c r="M19" s="2" t="s">
        <v>14</v>
      </c>
      <c r="N19" s="2" t="s">
        <v>16</v>
      </c>
      <c r="O19" s="4" t="s">
        <v>17</v>
      </c>
      <c r="P19" s="3" t="s">
        <v>11</v>
      </c>
      <c r="R19" s="2" t="s">
        <v>65</v>
      </c>
      <c r="S19" s="2" t="s">
        <v>62</v>
      </c>
      <c r="T19" s="2" t="s">
        <v>5</v>
      </c>
      <c r="U19" s="2" t="s">
        <v>164</v>
      </c>
      <c r="V19" s="16" t="s">
        <v>64</v>
      </c>
      <c r="W19" s="16" t="s">
        <v>62</v>
      </c>
      <c r="X19" s="45" t="s">
        <v>9</v>
      </c>
      <c r="Y19" s="123"/>
      <c r="Z19" s="124"/>
      <c r="AA19" s="125"/>
      <c r="AB19" s="123"/>
      <c r="AC19" s="123"/>
      <c r="AD19" s="123"/>
    </row>
    <row r="20" spans="1:30" ht="15.75" x14ac:dyDescent="0.25">
      <c r="A20" s="96">
        <v>1</v>
      </c>
      <c r="B20" s="97" t="s">
        <v>156</v>
      </c>
      <c r="C20" s="97"/>
      <c r="D20" s="98">
        <v>45886</v>
      </c>
      <c r="E20" s="99" t="s">
        <v>19</v>
      </c>
      <c r="F20" s="110">
        <v>1000</v>
      </c>
      <c r="G20" s="110"/>
      <c r="H20" s="110">
        <v>532000</v>
      </c>
      <c r="I20" s="110">
        <v>0</v>
      </c>
      <c r="J20" s="110"/>
      <c r="K20" s="110">
        <v>0</v>
      </c>
      <c r="L20" s="110">
        <v>0</v>
      </c>
      <c r="M20" s="110">
        <v>532000</v>
      </c>
      <c r="N20" s="110">
        <v>1000</v>
      </c>
      <c r="O20" s="111">
        <v>532</v>
      </c>
      <c r="P20" s="110">
        <v>0</v>
      </c>
      <c r="R20" s="112">
        <v>1835.3999999999999</v>
      </c>
      <c r="S20" s="112">
        <v>25</v>
      </c>
      <c r="T20" s="112">
        <v>1860.3999999999999</v>
      </c>
      <c r="U20" s="112">
        <v>533860.4</v>
      </c>
      <c r="V20" s="112">
        <v>0</v>
      </c>
      <c r="W20" s="112">
        <v>0</v>
      </c>
      <c r="X20" s="112">
        <v>0</v>
      </c>
      <c r="Y20" s="112">
        <v>0</v>
      </c>
      <c r="Z20" s="112">
        <v>0</v>
      </c>
      <c r="AA20" s="112">
        <v>0</v>
      </c>
      <c r="AB20" s="112">
        <v>533860.4</v>
      </c>
      <c r="AC20" s="112">
        <v>533.86040000000003</v>
      </c>
      <c r="AD20" s="112">
        <v>0</v>
      </c>
    </row>
    <row r="21" spans="1:30" ht="15.75" x14ac:dyDescent="0.25">
      <c r="A21" s="11" t="s">
        <v>22</v>
      </c>
      <c r="B21" s="12"/>
      <c r="C21" s="12"/>
      <c r="D21" s="13"/>
      <c r="E21" s="14"/>
      <c r="F21" s="15">
        <f>SUM(F20)</f>
        <v>1000</v>
      </c>
      <c r="G21" s="15"/>
      <c r="H21" s="15">
        <f>SUM(H20)</f>
        <v>532000</v>
      </c>
      <c r="I21" s="15">
        <f ca="1">SUM(INDIRECT("i4:i"&amp;ROW()-1))</f>
        <v>0</v>
      </c>
      <c r="J21" s="15">
        <f>SUM(J20)</f>
        <v>0</v>
      </c>
      <c r="K21" s="15">
        <f ca="1">SUM(INDIRECT("k4:k"&amp;ROW()-1))</f>
        <v>0</v>
      </c>
      <c r="L21" s="15"/>
      <c r="M21" s="61">
        <f>H21-L21</f>
        <v>532000</v>
      </c>
      <c r="N21" s="15">
        <f ca="1">F21-I21</f>
        <v>1000</v>
      </c>
      <c r="O21" s="15">
        <f ca="1">M21/N21</f>
        <v>532</v>
      </c>
      <c r="P21" s="15">
        <f>SUM(P20)</f>
        <v>0</v>
      </c>
      <c r="R21" s="24">
        <f>SUM(R17:R20)</f>
        <v>1835.3999999999999</v>
      </c>
      <c r="S21" s="24">
        <f t="shared" ref="S21" si="10">SUM(S17:S20)</f>
        <v>25</v>
      </c>
      <c r="T21" s="24">
        <f>SUM(T17:T20)</f>
        <v>1860.3999999999999</v>
      </c>
      <c r="U21" s="24">
        <f>SUM(U20)</f>
        <v>533860.4</v>
      </c>
      <c r="V21" s="24">
        <f>SUM(V20)</f>
        <v>0</v>
      </c>
      <c r="W21" s="24">
        <f t="shared" ref="W21:AA21" si="11">SUM(W20)</f>
        <v>0</v>
      </c>
      <c r="X21" s="24">
        <f t="shared" si="11"/>
        <v>0</v>
      </c>
      <c r="Y21" s="24">
        <f t="shared" si="11"/>
        <v>0</v>
      </c>
      <c r="Z21" s="24">
        <f t="shared" si="11"/>
        <v>0</v>
      </c>
      <c r="AA21" s="24">
        <f t="shared" si="11"/>
        <v>0</v>
      </c>
      <c r="AB21" s="24">
        <f>U21-AA21</f>
        <v>533860.4</v>
      </c>
      <c r="AC21" s="24">
        <f>AB21/F21</f>
        <v>533.86040000000003</v>
      </c>
      <c r="AD21" s="24">
        <f>SGIC!AG24</f>
        <v>0</v>
      </c>
    </row>
    <row r="23" spans="1:30" x14ac:dyDescent="0.25">
      <c r="A23" t="s">
        <v>918</v>
      </c>
      <c r="R23" s="120" t="s">
        <v>20</v>
      </c>
      <c r="S23" s="121"/>
      <c r="T23" s="121"/>
      <c r="U23" s="50"/>
      <c r="V23" s="120" t="s">
        <v>67</v>
      </c>
      <c r="W23" s="121"/>
      <c r="X23" s="121"/>
      <c r="Y23" s="123" t="s">
        <v>13</v>
      </c>
      <c r="Z23" s="124" t="s">
        <v>10</v>
      </c>
      <c r="AA23" s="125" t="s">
        <v>66</v>
      </c>
      <c r="AB23" s="123" t="s">
        <v>15</v>
      </c>
      <c r="AC23" s="123" t="s">
        <v>18</v>
      </c>
      <c r="AD23" s="123" t="s">
        <v>12</v>
      </c>
    </row>
    <row r="24" spans="1:30" ht="75" x14ac:dyDescent="0.25">
      <c r="A24" s="1" t="s">
        <v>57</v>
      </c>
      <c r="B24" s="2" t="s">
        <v>0</v>
      </c>
      <c r="C24" s="2" t="s">
        <v>53</v>
      </c>
      <c r="D24" s="2" t="s">
        <v>1</v>
      </c>
      <c r="E24" s="2" t="s">
        <v>2</v>
      </c>
      <c r="F24" s="2" t="s">
        <v>3</v>
      </c>
      <c r="G24" s="2" t="s">
        <v>4</v>
      </c>
      <c r="H24" s="2" t="s">
        <v>51</v>
      </c>
      <c r="I24" s="2" t="s">
        <v>6</v>
      </c>
      <c r="J24" s="16" t="s">
        <v>7</v>
      </c>
      <c r="K24" s="16" t="s">
        <v>8</v>
      </c>
      <c r="L24" s="2" t="s">
        <v>50</v>
      </c>
      <c r="M24" s="2" t="s">
        <v>14</v>
      </c>
      <c r="N24" s="2" t="s">
        <v>16</v>
      </c>
      <c r="O24" s="4" t="s">
        <v>17</v>
      </c>
      <c r="P24" s="3" t="s">
        <v>11</v>
      </c>
      <c r="R24" s="2" t="s">
        <v>65</v>
      </c>
      <c r="S24" s="2" t="s">
        <v>62</v>
      </c>
      <c r="T24" s="2" t="s">
        <v>5</v>
      </c>
      <c r="U24" s="2" t="s">
        <v>164</v>
      </c>
      <c r="V24" s="16" t="s">
        <v>64</v>
      </c>
      <c r="W24" s="16" t="s">
        <v>62</v>
      </c>
      <c r="X24" s="45" t="s">
        <v>9</v>
      </c>
      <c r="Y24" s="123"/>
      <c r="Z24" s="124"/>
      <c r="AA24" s="125"/>
      <c r="AB24" s="123"/>
      <c r="AC24" s="123"/>
      <c r="AD24" s="123"/>
    </row>
    <row r="25" spans="1:30" ht="15.75" x14ac:dyDescent="0.25">
      <c r="A25" s="96">
        <v>1</v>
      </c>
      <c r="B25" s="97" t="s">
        <v>156</v>
      </c>
      <c r="C25" s="97"/>
      <c r="D25" s="98">
        <v>45917</v>
      </c>
      <c r="E25" s="99" t="s">
        <v>19</v>
      </c>
      <c r="F25" s="110">
        <v>1000</v>
      </c>
      <c r="G25" s="110"/>
      <c r="H25" s="110">
        <v>532000</v>
      </c>
      <c r="I25" s="110">
        <v>0</v>
      </c>
      <c r="J25" s="110"/>
      <c r="K25" s="110">
        <v>0</v>
      </c>
      <c r="L25" s="110">
        <v>0</v>
      </c>
      <c r="M25" s="110">
        <v>532000</v>
      </c>
      <c r="N25" s="110">
        <v>1000</v>
      </c>
      <c r="O25" s="111">
        <v>532</v>
      </c>
      <c r="P25" s="110">
        <v>0</v>
      </c>
      <c r="R25" s="112">
        <v>1835.3999999999999</v>
      </c>
      <c r="S25" s="112">
        <v>25</v>
      </c>
      <c r="T25" s="112">
        <v>1860.3999999999999</v>
      </c>
      <c r="U25" s="112">
        <v>533860.4</v>
      </c>
      <c r="V25" s="112">
        <v>0</v>
      </c>
      <c r="W25" s="112">
        <v>0</v>
      </c>
      <c r="X25" s="112">
        <v>0</v>
      </c>
      <c r="Y25" s="112">
        <v>0</v>
      </c>
      <c r="Z25" s="112">
        <v>0</v>
      </c>
      <c r="AA25" s="112">
        <v>0</v>
      </c>
      <c r="AB25" s="112">
        <v>533860.4</v>
      </c>
      <c r="AC25" s="112">
        <v>533.86040000000003</v>
      </c>
      <c r="AD25" s="112">
        <v>0</v>
      </c>
    </row>
  </sheetData>
  <mergeCells count="24">
    <mergeCell ref="AB18:AB19"/>
    <mergeCell ref="AC18:AC19"/>
    <mergeCell ref="AD18:AD19"/>
    <mergeCell ref="R18:T18"/>
    <mergeCell ref="V18:X18"/>
    <mergeCell ref="Y18:Y19"/>
    <mergeCell ref="Z18:Z19"/>
    <mergeCell ref="AA18:AA19"/>
    <mergeCell ref="R5:T5"/>
    <mergeCell ref="AC5:AC6"/>
    <mergeCell ref="AD5:AD6"/>
    <mergeCell ref="V5:X5"/>
    <mergeCell ref="Y5:Y6"/>
    <mergeCell ref="Z5:Z6"/>
    <mergeCell ref="AA5:AA6"/>
    <mergeCell ref="AB5:AB6"/>
    <mergeCell ref="AB23:AB24"/>
    <mergeCell ref="AC23:AC24"/>
    <mergeCell ref="AD23:AD24"/>
    <mergeCell ref="R23:T23"/>
    <mergeCell ref="V23:X23"/>
    <mergeCell ref="Y23:Y24"/>
    <mergeCell ref="Z23:Z24"/>
    <mergeCell ref="AA23:AA24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EB89C8-D409-47C2-B744-17A9CACA0E0A}">
          <x14:formula1>
            <xm:f>VALIDATION!$A$2:$A$7</xm:f>
          </x14:formula1>
          <xm:sqref>E7:E15 E20 E25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1D756-F63C-423C-AC4D-FC0301CED49A}">
  <dimension ref="A1:AE25"/>
  <sheetViews>
    <sheetView topLeftCell="A8" workbookViewId="0">
      <selection activeCell="F21" sqref="F21:AD21"/>
    </sheetView>
  </sheetViews>
  <sheetFormatPr defaultRowHeight="15" x14ac:dyDescent="0.25"/>
  <cols>
    <col min="1" max="1" width="31.5703125" bestFit="1" customWidth="1"/>
    <col min="2" max="2" width="6.85546875" bestFit="1" customWidth="1"/>
    <col min="3" max="3" width="18.28515625" bestFit="1" customWidth="1"/>
    <col min="4" max="4" width="10.28515625" bestFit="1" customWidth="1"/>
    <col min="5" max="5" width="8.85546875" bestFit="1" customWidth="1"/>
    <col min="6" max="6" width="12.140625" bestFit="1" customWidth="1"/>
    <col min="7" max="7" width="8.7109375" bestFit="1" customWidth="1"/>
    <col min="8" max="8" width="16.85546875" bestFit="1" customWidth="1"/>
    <col min="9" max="9" width="10.42578125" bestFit="1" customWidth="1"/>
    <col min="10" max="10" width="6.5703125" bestFit="1" customWidth="1"/>
    <col min="11" max="11" width="10.85546875" bestFit="1" customWidth="1"/>
    <col min="12" max="12" width="12.42578125" bestFit="1" customWidth="1"/>
    <col min="13" max="13" width="16.85546875" bestFit="1" customWidth="1"/>
    <col min="14" max="14" width="12.140625" bestFit="1" customWidth="1"/>
    <col min="15" max="15" width="10.28515625" bestFit="1" customWidth="1"/>
    <col min="16" max="16" width="14" bestFit="1" customWidth="1"/>
    <col min="17" max="17" width="13.85546875" bestFit="1" customWidth="1"/>
    <col min="21" max="21" width="17.7109375" bestFit="1" customWidth="1"/>
    <col min="22" max="23" width="9.140625" bestFit="1" customWidth="1"/>
    <col min="24" max="24" width="10.7109375" bestFit="1" customWidth="1"/>
    <col min="25" max="25" width="8.140625" bestFit="1" customWidth="1"/>
    <col min="26" max="26" width="11.7109375" bestFit="1" customWidth="1"/>
    <col min="27" max="27" width="14.5703125" bestFit="1" customWidth="1"/>
    <col min="28" max="28" width="17.7109375" bestFit="1" customWidth="1"/>
    <col min="29" max="29" width="10.85546875" bestFit="1" customWidth="1"/>
    <col min="30" max="30" width="7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142</v>
      </c>
      <c r="C7" s="6"/>
      <c r="D7" s="7">
        <v>45855</v>
      </c>
      <c r="E7" s="8" t="s">
        <v>19</v>
      </c>
      <c r="F7" s="9">
        <v>5674</v>
      </c>
      <c r="G7" s="9">
        <v>556.99</v>
      </c>
      <c r="H7" s="9">
        <f>Table2428308910131415162324253233[[#This Row],[Purchase QTY]]*Table2428308910131415162324253233[[#This Row],[PPPU]]</f>
        <v>3160361.2600000002</v>
      </c>
      <c r="I7" s="9"/>
      <c r="J7" s="9"/>
      <c r="K7" s="9"/>
      <c r="L7" s="9"/>
      <c r="M7" s="9">
        <f>Table2428308910131415162324253233[[#This Row],[Total Purchase Amount]]</f>
        <v>3160361.2600000002</v>
      </c>
      <c r="N7" s="9">
        <f>IF(Table2428308910131415162324253233[[#This Row],[Txn Type]]="opening",Table2428308910131415162324253233[[#This Row],[Purchase QTY]],"Error")</f>
        <v>5674</v>
      </c>
      <c r="O7" s="42">
        <f>IFERROR(Table2428308910131415162324253233[[#This Row],[TC AP NFRS]]/Table2428308910131415162324253233[[#This Row],[Unit Sum]],0)</f>
        <v>556.99</v>
      </c>
      <c r="P7" s="10">
        <f>Table2428308910131415162324253233[[#This Row],[Sales Amt]]-Table2428308910131415162324253233[[#This Row],[Principal Cost As per  NFRS (In case of Sales)]]</f>
        <v>0</v>
      </c>
      <c r="R7" s="17"/>
      <c r="S7" s="17"/>
      <c r="T7" s="20">
        <f>R7+S7</f>
        <v>0</v>
      </c>
      <c r="U7" s="20">
        <f>AB7</f>
        <v>3569188.1130000004</v>
      </c>
      <c r="V7" s="20"/>
      <c r="W7" s="20"/>
      <c r="X7" s="20"/>
      <c r="Y7" s="46"/>
      <c r="Z7" s="46"/>
      <c r="AA7" s="46"/>
      <c r="AB7" s="46">
        <f>F7*AC7</f>
        <v>3569188.1130000004</v>
      </c>
      <c r="AC7" s="46">
        <v>629.04267060274947</v>
      </c>
      <c r="AD7" s="56"/>
    </row>
    <row r="8" spans="1:31" x14ac:dyDescent="0.25">
      <c r="A8" s="5">
        <f>A7+1</f>
        <v>2</v>
      </c>
      <c r="B8" s="6" t="s">
        <v>142</v>
      </c>
      <c r="C8" s="6" t="s">
        <v>143</v>
      </c>
      <c r="D8" s="7">
        <v>45867</v>
      </c>
      <c r="E8" s="8" t="s">
        <v>55</v>
      </c>
      <c r="F8" s="9">
        <v>1000</v>
      </c>
      <c r="G8" s="9">
        <f>Table2428308910131415162324253233[[#This Row],[Total Purchase Amount]]/Table2428308910131415162324253233[[#This Row],[Purchase QTY]]</f>
        <v>583</v>
      </c>
      <c r="H8" s="9">
        <v>583000</v>
      </c>
      <c r="I8" s="9">
        <v>0</v>
      </c>
      <c r="J8" s="9">
        <f>IFERROR(Table2428308910131415162324253233[[#This Row],[Sales Amt]]/Table2428308910131415162324253233[[#This Row],[Sales Qty]],0)</f>
        <v>0</v>
      </c>
      <c r="K8" s="9">
        <v>0</v>
      </c>
      <c r="L8" s="9">
        <f>Table2428308910131415162324253233[[#This Row],[Sales Qty]]*O7</f>
        <v>0</v>
      </c>
      <c r="M8" s="9">
        <f>M7+Table2428308910131415162324253233[[#This Row],[Total Purchase Amount]]-Table2428308910131415162324253233[[#This Row],[Principal Cost As per  NFRS (In case of Sales)]]</f>
        <v>3743361.2600000002</v>
      </c>
      <c r="N8" s="9">
        <f>N7+Table2428308910131415162324253233[[#This Row],[Purchase QTY]]-Table2428308910131415162324253233[[#This Row],[Sales Qty]]</f>
        <v>6674</v>
      </c>
      <c r="O8" s="42">
        <f>IFERROR(Table2428308910131415162324253233[[#This Row],[TC AP NFRS]]/Table2428308910131415162324253233[[#This Row],[Unit Sum]],0)</f>
        <v>560.88721306562786</v>
      </c>
      <c r="P8" s="10">
        <f>Table2428308910131415162324253233[[#This Row],[Sales Amt]]-Table2428308910131415162324253233[[#This Row],[Principal Cost As per  NFRS (In case of Sales)]]</f>
        <v>0</v>
      </c>
      <c r="R8" s="17">
        <v>0</v>
      </c>
      <c r="S8" s="17"/>
      <c r="T8" s="20">
        <f>R8+S8</f>
        <v>0</v>
      </c>
      <c r="U8" s="20">
        <f>H8+T8</f>
        <v>583000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4152188.1130000004</v>
      </c>
      <c r="AC8" s="20">
        <f>IFERROR(AB8/N8,0)</f>
        <v>622.14385870542412</v>
      </c>
      <c r="AD8" s="56">
        <f>Z8-AA8+Y8</f>
        <v>0</v>
      </c>
    </row>
    <row r="9" spans="1:31" x14ac:dyDescent="0.25">
      <c r="A9" s="5">
        <f t="shared" ref="A9:A15" si="0">A8+1</f>
        <v>3</v>
      </c>
      <c r="B9" s="6" t="s">
        <v>142</v>
      </c>
      <c r="C9" s="6"/>
      <c r="D9" s="7"/>
      <c r="E9" s="8"/>
      <c r="F9" s="9"/>
      <c r="G9" s="9">
        <f>IF(Table2428308910131415162324253233[[#This Row],[SPPU]]&gt;=0,0,Table2428308910131415162324253233[[#This Row],[Total Purchase Amount]]/Table2428308910131415162324253233[[#This Row],[Purchase QTY]])</f>
        <v>0</v>
      </c>
      <c r="H9" s="9"/>
      <c r="I9" s="9"/>
      <c r="J9" s="9">
        <f>IFERROR(Table2428308910131415162324253233[[#This Row],[Sales Amt]]/Table2428308910131415162324253233[[#This Row],[Sales Qty]],0)</f>
        <v>0</v>
      </c>
      <c r="K9" s="9"/>
      <c r="L9" s="9">
        <f>Table2428308910131415162324253233[[#This Row],[Sales Qty]]*O8</f>
        <v>0</v>
      </c>
      <c r="M9" s="9">
        <f>M8+Table2428308910131415162324253233[[#This Row],[Total Purchase Amount]]-Table2428308910131415162324253233[[#This Row],[Principal Cost As per  NFRS (In case of Sales)]]</f>
        <v>3743361.2600000002</v>
      </c>
      <c r="N9" s="9">
        <f>N8+Table2428308910131415162324253233[[#This Row],[Purchase QTY]]-Table2428308910131415162324253233[[#This Row],[Sales Qty]]</f>
        <v>6674</v>
      </c>
      <c r="O9" s="42">
        <f>IFERROR(Table2428308910131415162324253233[[#This Row],[TC AP NFRS]]/Table2428308910131415162324253233[[#This Row],[Unit Sum]],0)</f>
        <v>560.88721306562786</v>
      </c>
      <c r="P9" s="10">
        <f>Table2428308910131415162324253233[[#This Row],[Sales Amt]]-Table2428308910131415162324253233[[#This Row],[Principal Cost As per  NFRS (In case of Sales)]]</f>
        <v>0</v>
      </c>
      <c r="R9" s="17">
        <v>0</v>
      </c>
      <c r="S9" s="17"/>
      <c r="T9" s="20">
        <f t="shared" ref="T9:T15" si="1">R9+S9</f>
        <v>0</v>
      </c>
      <c r="U9" s="20">
        <f t="shared" ref="U9:U15" si="2">H9+T9</f>
        <v>0</v>
      </c>
      <c r="V9" s="20">
        <v>0</v>
      </c>
      <c r="W9" s="20">
        <v>0</v>
      </c>
      <c r="X9" s="55">
        <f t="shared" ref="X9:X15" si="3">V9+W9</f>
        <v>0</v>
      </c>
      <c r="Y9" s="20">
        <v>0</v>
      </c>
      <c r="Z9" s="20">
        <f t="shared" ref="Z9:Z15" si="4">K9-X9-Y9</f>
        <v>0</v>
      </c>
      <c r="AA9" s="20">
        <f t="shared" ref="AA9:AA15" si="5">I9*AC8</f>
        <v>0</v>
      </c>
      <c r="AB9" s="20">
        <f t="shared" ref="AB9:AB15" si="6">AB8+U9-AA9</f>
        <v>4152188.1130000004</v>
      </c>
      <c r="AC9" s="20">
        <f t="shared" ref="AC9:AC16" si="7">IFERROR(AB9/N9,0)</f>
        <v>622.14385870542412</v>
      </c>
      <c r="AD9" s="56">
        <f t="shared" ref="AD9:AD15" si="8">Z9-AA9+Y9</f>
        <v>0</v>
      </c>
    </row>
    <row r="10" spans="1:3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IF(Table2428308910131415162324253233[[#This Row],[SPPU]]&gt;=0,0,Table2428308910131415162324253233[[#This Row],[Total Purchase Amount]]/Table2428308910131415162324253233[[#This Row],[Purchase QTY]])</f>
        <v>0</v>
      </c>
      <c r="H10" s="9"/>
      <c r="I10" s="9">
        <v>0</v>
      </c>
      <c r="J10" s="9">
        <f>IFERROR(Table2428308910131415162324253233[[#This Row],[Sales Amt]]/Table2428308910131415162324253233[[#This Row],[Sales Qty]],0)</f>
        <v>0</v>
      </c>
      <c r="K10" s="9">
        <v>0</v>
      </c>
      <c r="L10" s="9">
        <f>Table2428308910131415162324253233[[#This Row],[Sales Qty]]*O9</f>
        <v>0</v>
      </c>
      <c r="M10" s="9">
        <f>M9+Table2428308910131415162324253233[[#This Row],[Total Purchase Amount]]-Table2428308910131415162324253233[[#This Row],[Principal Cost As per  NFRS (In case of Sales)]]</f>
        <v>3743361.2600000002</v>
      </c>
      <c r="N10" s="9">
        <f>N9+Table2428308910131415162324253233[[#This Row],[Purchase QTY]]-Table2428308910131415162324253233[[#This Row],[Sales Qty]]</f>
        <v>6674</v>
      </c>
      <c r="O10" s="42">
        <f>IFERROR(Table2428308910131415162324253233[[#This Row],[TC AP NFRS]]/Table2428308910131415162324253233[[#This Row],[Unit Sum]],0)</f>
        <v>560.88721306562786</v>
      </c>
      <c r="P10" s="10">
        <f>Table2428308910131415162324253233[[#This Row],[Sales Amt]]-Table2428308910131415162324253233[[#This Row],[Principal Cost As per  NFRS (In case of Sales)]]</f>
        <v>0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v>0</v>
      </c>
      <c r="W10" s="20">
        <v>0</v>
      </c>
      <c r="X10" s="55">
        <f t="shared" si="3"/>
        <v>0</v>
      </c>
      <c r="Y10" s="20">
        <v>0</v>
      </c>
      <c r="Z10" s="20">
        <f t="shared" si="4"/>
        <v>0</v>
      </c>
      <c r="AA10" s="20">
        <f t="shared" si="5"/>
        <v>0</v>
      </c>
      <c r="AB10" s="20">
        <f t="shared" si="6"/>
        <v>4152188.1130000004</v>
      </c>
      <c r="AC10" s="20">
        <f t="shared" si="7"/>
        <v>622.14385870542412</v>
      </c>
      <c r="AD10" s="56">
        <f t="shared" si="8"/>
        <v>0</v>
      </c>
    </row>
    <row r="11" spans="1:31" x14ac:dyDescent="0.25">
      <c r="A11" s="5">
        <f t="shared" si="0"/>
        <v>5</v>
      </c>
      <c r="B11" s="6"/>
      <c r="C11" s="6"/>
      <c r="D11" s="7"/>
      <c r="E11" s="8"/>
      <c r="F11" s="9">
        <v>0</v>
      </c>
      <c r="G11" s="9" t="e">
        <f>Table2428308910131415162324253233[[#This Row],[Total Purchase Amount]]/Table2428308910131415162324253233[[#This Row],[Purchase QTY]]</f>
        <v>#DIV/0!</v>
      </c>
      <c r="H11" s="9">
        <v>0</v>
      </c>
      <c r="I11" s="9">
        <v>0</v>
      </c>
      <c r="J11" s="9">
        <f ca="1">IFERROR(Table2428308910131415162324253233[[#This Row],[Sales Amt]]/Table2428308910131415162324253233[[#This Row],[Sales Qty]],0)</f>
        <v>0</v>
      </c>
      <c r="K11" s="9">
        <f ca="1">Table2428308910131415162324253233[[#This Row],[Sales Qty]]*Table2428308910131415162324253233[[#This Row],[SPPU]]</f>
        <v>0</v>
      </c>
      <c r="L11" s="9">
        <f>Table2428308910131415162324253233[[#This Row],[Sales Qty]]*O10</f>
        <v>0</v>
      </c>
      <c r="M11" s="9">
        <f>M10+Table2428308910131415162324253233[[#This Row],[Total Purchase Amount]]-Table2428308910131415162324253233[[#This Row],[Principal Cost As per  NFRS (In case of Sales)]]</f>
        <v>3743361.2600000002</v>
      </c>
      <c r="N11" s="9">
        <f>N10+Table2428308910131415162324253233[[#This Row],[Purchase QTY]]-Table2428308910131415162324253233[[#This Row],[Sales Qty]]</f>
        <v>6674</v>
      </c>
      <c r="O11" s="42">
        <f>IFERROR(Table2428308910131415162324253233[[#This Row],[TC AP NFRS]]/Table2428308910131415162324253233[[#This Row],[Unit Sum]],0)</f>
        <v>560.88721306562786</v>
      </c>
      <c r="P11" s="10">
        <f ca="1">Table2428308910131415162324253233[[#This Row],[Sales Amt]]-Table2428308910131415162324253233[[#This Row],[Principal Cost As per  NFRS (In case of Sales)]]</f>
        <v>0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v>0</v>
      </c>
      <c r="W11" s="20">
        <v>0</v>
      </c>
      <c r="X11" s="55">
        <f t="shared" si="3"/>
        <v>0</v>
      </c>
      <c r="Y11" s="20">
        <v>0</v>
      </c>
      <c r="Z11" s="20">
        <f t="shared" ca="1" si="4"/>
        <v>0</v>
      </c>
      <c r="AA11" s="20">
        <f t="shared" si="5"/>
        <v>0</v>
      </c>
      <c r="AB11" s="20">
        <f t="shared" si="6"/>
        <v>4152188.1130000004</v>
      </c>
      <c r="AC11" s="20">
        <f t="shared" si="7"/>
        <v>622.14385870542412</v>
      </c>
      <c r="AD11" s="56">
        <f t="shared" ca="1" si="8"/>
        <v>0</v>
      </c>
    </row>
    <row r="12" spans="1:3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Table2428308910131415162324253233[[#This Row],[Total Purchase Amount]]/Table2428308910131415162324253233[[#This Row],[Purchase QTY]]</f>
        <v>#DIV/0!</v>
      </c>
      <c r="H12" s="9">
        <v>0</v>
      </c>
      <c r="I12" s="9">
        <v>0</v>
      </c>
      <c r="J12" s="9">
        <f ca="1">IFERROR(Table2428308910131415162324253233[[#This Row],[Sales Amt]]/Table2428308910131415162324253233[[#This Row],[Sales Qty]],0)</f>
        <v>0</v>
      </c>
      <c r="K12" s="9">
        <f ca="1">Table2428308910131415162324253233[[#This Row],[Sales Qty]]*Table2428308910131415162324253233[[#This Row],[SPPU]]</f>
        <v>0</v>
      </c>
      <c r="L12" s="9">
        <f>Table2428308910131415162324253233[[#This Row],[Sales Qty]]*O11</f>
        <v>0</v>
      </c>
      <c r="M12" s="9">
        <f>M11+Table2428308910131415162324253233[[#This Row],[Total Purchase Amount]]-Table2428308910131415162324253233[[#This Row],[Principal Cost As per  NFRS (In case of Sales)]]</f>
        <v>3743361.2600000002</v>
      </c>
      <c r="N12" s="9">
        <f>N11+Table2428308910131415162324253233[[#This Row],[Purchase QTY]]-Table2428308910131415162324253233[[#This Row],[Sales Qty]]</f>
        <v>6674</v>
      </c>
      <c r="O12" s="42">
        <f>IFERROR(Table2428308910131415162324253233[[#This Row],[TC AP NFRS]]/Table2428308910131415162324253233[[#This Row],[Unit Sum]],0)</f>
        <v>560.88721306562786</v>
      </c>
      <c r="P12" s="10">
        <f ca="1">Table2428308910131415162324253233[[#This Row],[Sales Amt]]-Table2428308910131415162324253233[[#This Row],[Principal Cost As per  NFRS (In case of Sales)]]</f>
        <v>0</v>
      </c>
      <c r="R12" s="17">
        <v>0</v>
      </c>
      <c r="S12" s="17"/>
      <c r="T12" s="20">
        <f t="shared" si="1"/>
        <v>0</v>
      </c>
      <c r="U12" s="20">
        <f t="shared" si="2"/>
        <v>0</v>
      </c>
      <c r="V12" s="20">
        <v>0</v>
      </c>
      <c r="W12" s="20">
        <v>0</v>
      </c>
      <c r="X12" s="55">
        <f t="shared" si="3"/>
        <v>0</v>
      </c>
      <c r="Y12" s="20">
        <v>0</v>
      </c>
      <c r="Z12" s="20">
        <f t="shared" ca="1" si="4"/>
        <v>0</v>
      </c>
      <c r="AA12" s="20">
        <f t="shared" si="5"/>
        <v>0</v>
      </c>
      <c r="AB12" s="20">
        <f t="shared" si="6"/>
        <v>4152188.1130000004</v>
      </c>
      <c r="AC12" s="20">
        <f t="shared" si="7"/>
        <v>622.14385870542412</v>
      </c>
      <c r="AD12" s="56">
        <f t="shared" ca="1" si="8"/>
        <v>0</v>
      </c>
    </row>
    <row r="13" spans="1:31" x14ac:dyDescent="0.25">
      <c r="A13" s="5">
        <f t="shared" si="0"/>
        <v>7</v>
      </c>
      <c r="B13" s="6"/>
      <c r="C13" s="6"/>
      <c r="D13" s="7"/>
      <c r="E13" s="8"/>
      <c r="F13" s="9"/>
      <c r="G13" s="9">
        <f>IF(Table2428308910131415162324253233[[#This Row],[SPPU]]&gt;=0,0,Table2428308910131415162324253233[[#This Row],[Total Purchase Amount]]/Table2428308910131415162324253233[[#This Row],[Purchase QTY]])</f>
        <v>0</v>
      </c>
      <c r="H13" s="9"/>
      <c r="I13" s="9">
        <v>0</v>
      </c>
      <c r="J13" s="9">
        <f>IFERROR(Table2428308910131415162324253233[[#This Row],[Sales Amt]]/Table2428308910131415162324253233[[#This Row],[Sales Qty]],0)</f>
        <v>0</v>
      </c>
      <c r="K13" s="9">
        <v>0</v>
      </c>
      <c r="L13" s="9">
        <f>Table2428308910131415162324253233[[#This Row],[Sales Qty]]*O11</f>
        <v>0</v>
      </c>
      <c r="M13" s="9">
        <f>M12+Table2428308910131415162324253233[[#This Row],[Total Purchase Amount]]-Table2428308910131415162324253233[[#This Row],[Principal Cost As per  NFRS (In case of Sales)]]</f>
        <v>3743361.2600000002</v>
      </c>
      <c r="N13" s="9">
        <f>N12+Table2428308910131415162324253233[[#This Row],[Purchase QTY]]-Table2428308910131415162324253233[[#This Row],[Sales Qty]]</f>
        <v>6674</v>
      </c>
      <c r="O13" s="42">
        <f>IFERROR(Table2428308910131415162324253233[[#This Row],[TC AP NFRS]]/Table2428308910131415162324253233[[#This Row],[Unit Sum]],0)</f>
        <v>560.88721306562786</v>
      </c>
      <c r="P13" s="10">
        <f>Table2428308910131415162324253233[[#This Row],[Sales Amt]]-Table2428308910131415162324253233[[#This Row],[Principal Cost As per  NFRS (In case of Sales)]]</f>
        <v>0</v>
      </c>
      <c r="R13" s="17">
        <v>0</v>
      </c>
      <c r="S13" s="17"/>
      <c r="T13" s="20">
        <f t="shared" si="1"/>
        <v>0</v>
      </c>
      <c r="U13" s="20">
        <f t="shared" si="2"/>
        <v>0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si="4"/>
        <v>0</v>
      </c>
      <c r="AA13" s="20">
        <f t="shared" si="5"/>
        <v>0</v>
      </c>
      <c r="AB13" s="20">
        <f t="shared" si="6"/>
        <v>4152188.1130000004</v>
      </c>
      <c r="AC13" s="20">
        <f t="shared" si="7"/>
        <v>622.14385870542412</v>
      </c>
      <c r="AD13" s="56">
        <f t="shared" si="8"/>
        <v>0</v>
      </c>
    </row>
    <row r="14" spans="1:3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IF(Table2428308910131415162324253233[[#This Row],[SPPU]]&gt;=0,0,Table2428308910131415162324253233[[#This Row],[Total Purchase Amount]]/Table2428308910131415162324253233[[#This Row],[Purchase QTY]])</f>
        <v>0</v>
      </c>
      <c r="H14" s="9"/>
      <c r="I14" s="9">
        <v>0</v>
      </c>
      <c r="J14" s="9">
        <f>IFERROR(Table2428308910131415162324253233[[#This Row],[Sales Amt]]/Table2428308910131415162324253233[[#This Row],[Sales Qty]],0)</f>
        <v>0</v>
      </c>
      <c r="K14" s="9">
        <v>0</v>
      </c>
      <c r="L14" s="9">
        <f>Table2428308910131415162324253233[[#This Row],[Sales Qty]]*O13</f>
        <v>0</v>
      </c>
      <c r="M14" s="9">
        <f>M13+Table2428308910131415162324253233[[#This Row],[Total Purchase Amount]]-Table2428308910131415162324253233[[#This Row],[Principal Cost As per  NFRS (In case of Sales)]]</f>
        <v>3743361.2600000002</v>
      </c>
      <c r="N14" s="9">
        <f>N13+Table2428308910131415162324253233[[#This Row],[Purchase QTY]]-Table2428308910131415162324253233[[#This Row],[Sales Qty]]</f>
        <v>6674</v>
      </c>
      <c r="O14" s="42">
        <f>IFERROR(Table2428308910131415162324253233[[#This Row],[TC AP NFRS]]/Table2428308910131415162324253233[[#This Row],[Unit Sum]],0)</f>
        <v>560.88721306562786</v>
      </c>
      <c r="P14" s="10">
        <f>Table2428308910131415162324253233[[#This Row],[Sales Amt]]-Table2428308910131415162324253233[[#This Row],[Principal Cost As per  NFRS (In case of Sales)]]</f>
        <v>0</v>
      </c>
      <c r="R14" s="17">
        <v>0</v>
      </c>
      <c r="S14" s="17"/>
      <c r="T14" s="20">
        <f t="shared" si="1"/>
        <v>0</v>
      </c>
      <c r="U14" s="20">
        <f t="shared" si="2"/>
        <v>0</v>
      </c>
      <c r="V14" s="20">
        <v>0</v>
      </c>
      <c r="W14" s="20">
        <v>0</v>
      </c>
      <c r="X14" s="55">
        <f t="shared" si="3"/>
        <v>0</v>
      </c>
      <c r="Y14" s="20">
        <v>0</v>
      </c>
      <c r="Z14" s="20">
        <f t="shared" si="4"/>
        <v>0</v>
      </c>
      <c r="AA14" s="20">
        <f t="shared" si="5"/>
        <v>0</v>
      </c>
      <c r="AB14" s="20">
        <f t="shared" si="6"/>
        <v>4152188.1130000004</v>
      </c>
      <c r="AC14" s="20">
        <f t="shared" si="7"/>
        <v>622.14385870542412</v>
      </c>
      <c r="AD14" s="56">
        <f t="shared" si="8"/>
        <v>0</v>
      </c>
    </row>
    <row r="15" spans="1:3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IF(Table2428308910131415162324253233[[#This Row],[SPPU]]&gt;=0,0,Table2428308910131415162324253233[[#This Row],[Total Purchase Amount]]/Table2428308910131415162324253233[[#This Row],[Purchase QTY]])</f>
        <v>0</v>
      </c>
      <c r="H15" s="9"/>
      <c r="I15" s="9">
        <v>0</v>
      </c>
      <c r="J15" s="9">
        <f>IFERROR(Table2428308910131415162324253233[[#This Row],[Sales Amt]]/Table2428308910131415162324253233[[#This Row],[Sales Qty]],0)</f>
        <v>0</v>
      </c>
      <c r="K15" s="9">
        <v>0</v>
      </c>
      <c r="L15" s="9">
        <f>Table2428308910131415162324253233[[#This Row],[Sales Qty]]*O14</f>
        <v>0</v>
      </c>
      <c r="M15" s="9">
        <f>M14+Table2428308910131415162324253233[[#This Row],[Total Purchase Amount]]-Table2428308910131415162324253233[[#This Row],[Principal Cost As per  NFRS (In case of Sales)]]</f>
        <v>3743361.2600000002</v>
      </c>
      <c r="N15" s="9">
        <f>N14+Table2428308910131415162324253233[[#This Row],[Purchase QTY]]-Table2428308910131415162324253233[[#This Row],[Sales Qty]]</f>
        <v>6674</v>
      </c>
      <c r="O15" s="42">
        <f>IFERROR(Table2428308910131415162324253233[[#This Row],[TC AP NFRS]]/Table2428308910131415162324253233[[#This Row],[Unit Sum]],0)</f>
        <v>560.88721306562786</v>
      </c>
      <c r="P15" s="10">
        <f>Table2428308910131415162324253233[[#This Row],[Sales Amt]]-Table2428308910131415162324253233[[#This Row],[Principal Cost As per  NFRS (In case of Sales)]]</f>
        <v>0</v>
      </c>
      <c r="R15" s="17">
        <v>0</v>
      </c>
      <c r="S15" s="17"/>
      <c r="T15" s="20">
        <f t="shared" si="1"/>
        <v>0</v>
      </c>
      <c r="U15" s="20">
        <f t="shared" si="2"/>
        <v>0</v>
      </c>
      <c r="V15" s="20">
        <v>0</v>
      </c>
      <c r="W15" s="20">
        <v>0</v>
      </c>
      <c r="X15" s="55">
        <f t="shared" si="3"/>
        <v>0</v>
      </c>
      <c r="Y15" s="20">
        <v>0</v>
      </c>
      <c r="Z15" s="20">
        <f t="shared" si="4"/>
        <v>0</v>
      </c>
      <c r="AA15" s="20">
        <f t="shared" si="5"/>
        <v>0</v>
      </c>
      <c r="AB15" s="20">
        <f t="shared" si="6"/>
        <v>4152188.1130000004</v>
      </c>
      <c r="AC15" s="20">
        <f t="shared" si="7"/>
        <v>622.14385870542412</v>
      </c>
      <c r="AD15" s="56">
        <f t="shared" si="8"/>
        <v>0</v>
      </c>
    </row>
    <row r="16" spans="1:31" ht="15.75" x14ac:dyDescent="0.25">
      <c r="A16" s="11" t="s">
        <v>22</v>
      </c>
      <c r="B16" s="12"/>
      <c r="C16" s="12"/>
      <c r="D16" s="13"/>
      <c r="E16" s="14"/>
      <c r="F16" s="15">
        <f ca="1">SUM(INDIRECT("f4:f"&amp;ROW()-1))</f>
        <v>6674</v>
      </c>
      <c r="G16" s="15"/>
      <c r="H16" s="15">
        <f ca="1">SUM(INDIRECT("h4:h"&amp;ROW()-1))</f>
        <v>3743361.2600000002</v>
      </c>
      <c r="I16" s="15">
        <f ca="1">SUM(INDIRECT("i4:i"&amp;ROW()-1))</f>
        <v>0</v>
      </c>
      <c r="J16" s="15">
        <f ca="1">IFERROR(Table2428308910131415162324253233[[#This Row],[Sales Amt]]/Table2428308910131415162324253233[[#This Row],[Sales Qty]],0)</f>
        <v>0</v>
      </c>
      <c r="K16" s="15">
        <f ca="1">SUM(K7:K15)</f>
        <v>0</v>
      </c>
      <c r="L16" s="15"/>
      <c r="M16" s="15">
        <f ca="1">Table2428308910131415162324253233[[#This Row],[Total Purchase Amount]]-Table2428308910131415162324253233[[#This Row],[Sales Amt]]</f>
        <v>3743361.2600000002</v>
      </c>
      <c r="N16" s="15">
        <f ca="1">Table2428308910131415162324253233[[#This Row],[Purchase QTY]]-Table2428308910131415162324253233[[#This Row],[Sales Qty]]</f>
        <v>6674</v>
      </c>
      <c r="O16" s="43">
        <f ca="1">Table2428308910131415162324253233[[#This Row],[TC AP NFRS]]/Table2428308910131415162324253233[[#This Row],[Unit Sum]]</f>
        <v>560.88721306562786</v>
      </c>
      <c r="P16" s="15">
        <f ca="1">SUM(INDIRECT("p4:p"&amp;ROW()-1))</f>
        <v>0</v>
      </c>
      <c r="R16" s="24">
        <f>SUM(R7:R15)</f>
        <v>0</v>
      </c>
      <c r="S16" s="24">
        <f t="shared" ref="S16:AD16" si="9">SUM(S7:S15)</f>
        <v>0</v>
      </c>
      <c r="T16" s="24">
        <f t="shared" si="9"/>
        <v>0</v>
      </c>
      <c r="U16" s="24">
        <f>SUM(U7:U15)</f>
        <v>4152188.1130000004</v>
      </c>
      <c r="V16" s="24">
        <f t="shared" si="9"/>
        <v>0</v>
      </c>
      <c r="W16" s="24">
        <f t="shared" si="9"/>
        <v>0</v>
      </c>
      <c r="X16" s="24">
        <f t="shared" si="9"/>
        <v>0</v>
      </c>
      <c r="Y16" s="24">
        <f t="shared" si="9"/>
        <v>0</v>
      </c>
      <c r="Z16" s="24">
        <f t="shared" ca="1" si="9"/>
        <v>0</v>
      </c>
      <c r="AA16" s="24">
        <f t="shared" si="9"/>
        <v>0</v>
      </c>
      <c r="AB16" s="24">
        <f>U16-AA16</f>
        <v>4152188.1130000004</v>
      </c>
      <c r="AC16" s="24">
        <f t="shared" ca="1" si="7"/>
        <v>622.14385870542412</v>
      </c>
      <c r="AD16" s="24">
        <f t="shared" ca="1" si="9"/>
        <v>0</v>
      </c>
    </row>
    <row r="18" spans="1:30" x14ac:dyDescent="0.25">
      <c r="A18" t="s">
        <v>882</v>
      </c>
      <c r="R18" s="120" t="s">
        <v>20</v>
      </c>
      <c r="S18" s="121"/>
      <c r="T18" s="121"/>
      <c r="U18" s="50"/>
      <c r="V18" s="120" t="s">
        <v>67</v>
      </c>
      <c r="W18" s="121"/>
      <c r="X18" s="121"/>
      <c r="Y18" s="123" t="s">
        <v>13</v>
      </c>
      <c r="Z18" s="124" t="s">
        <v>10</v>
      </c>
      <c r="AA18" s="125" t="s">
        <v>66</v>
      </c>
      <c r="AB18" s="123" t="s">
        <v>15</v>
      </c>
      <c r="AC18" s="123" t="s">
        <v>18</v>
      </c>
      <c r="AD18" s="123" t="s">
        <v>12</v>
      </c>
    </row>
    <row r="19" spans="1:30" ht="75" x14ac:dyDescent="0.25">
      <c r="A19" s="1" t="s">
        <v>57</v>
      </c>
      <c r="B19" s="2" t="s">
        <v>0</v>
      </c>
      <c r="C19" s="2" t="s">
        <v>53</v>
      </c>
      <c r="D19" s="2" t="s">
        <v>1</v>
      </c>
      <c r="E19" s="2" t="s">
        <v>2</v>
      </c>
      <c r="F19" s="2" t="s">
        <v>3</v>
      </c>
      <c r="G19" s="2" t="s">
        <v>4</v>
      </c>
      <c r="H19" s="2" t="s">
        <v>51</v>
      </c>
      <c r="I19" s="2" t="s">
        <v>6</v>
      </c>
      <c r="J19" s="16" t="s">
        <v>7</v>
      </c>
      <c r="K19" s="16" t="s">
        <v>8</v>
      </c>
      <c r="L19" s="2" t="s">
        <v>50</v>
      </c>
      <c r="M19" s="2" t="s">
        <v>14</v>
      </c>
      <c r="N19" s="2" t="s">
        <v>16</v>
      </c>
      <c r="O19" s="4" t="s">
        <v>17</v>
      </c>
      <c r="P19" s="3" t="s">
        <v>11</v>
      </c>
      <c r="R19" s="2" t="s">
        <v>65</v>
      </c>
      <c r="S19" s="2" t="s">
        <v>62</v>
      </c>
      <c r="T19" s="2" t="s">
        <v>5</v>
      </c>
      <c r="U19" s="2" t="s">
        <v>164</v>
      </c>
      <c r="V19" s="16" t="s">
        <v>64</v>
      </c>
      <c r="W19" s="16" t="s">
        <v>62</v>
      </c>
      <c r="X19" s="45" t="s">
        <v>9</v>
      </c>
      <c r="Y19" s="123"/>
      <c r="Z19" s="124"/>
      <c r="AA19" s="125"/>
      <c r="AB19" s="123"/>
      <c r="AC19" s="123"/>
      <c r="AD19" s="123"/>
    </row>
    <row r="20" spans="1:30" x14ac:dyDescent="0.25">
      <c r="A20" s="96">
        <v>1</v>
      </c>
      <c r="B20" s="97" t="s">
        <v>142</v>
      </c>
      <c r="C20" s="97"/>
      <c r="D20" s="98">
        <v>45886</v>
      </c>
      <c r="E20" s="99" t="s">
        <v>19</v>
      </c>
      <c r="F20" s="59">
        <v>6674</v>
      </c>
      <c r="G20" s="59"/>
      <c r="H20" s="59">
        <v>3743361.2600000002</v>
      </c>
      <c r="I20" s="59"/>
      <c r="J20" s="59"/>
      <c r="K20" s="59"/>
      <c r="L20" s="59"/>
      <c r="M20" s="59">
        <v>3743361.2600000002</v>
      </c>
      <c r="N20" s="59">
        <v>6674</v>
      </c>
      <c r="O20" s="59">
        <v>560.88721306562786</v>
      </c>
      <c r="P20" s="59">
        <v>0</v>
      </c>
      <c r="Q20" s="59"/>
      <c r="R20" s="59"/>
      <c r="S20" s="59"/>
      <c r="T20" s="59"/>
      <c r="U20" s="59">
        <v>4152188.1130000004</v>
      </c>
      <c r="V20" s="59"/>
      <c r="W20" s="59"/>
      <c r="X20" s="59"/>
      <c r="Y20" s="59"/>
      <c r="Z20" s="59"/>
      <c r="AA20" s="59"/>
      <c r="AB20" s="59">
        <v>4152188.1130000004</v>
      </c>
      <c r="AC20" s="59">
        <v>622.14385870542412</v>
      </c>
      <c r="AD20" s="59"/>
    </row>
    <row r="21" spans="1:30" ht="15.75" x14ac:dyDescent="0.25">
      <c r="A21" s="11" t="s">
        <v>22</v>
      </c>
      <c r="B21" s="12"/>
      <c r="C21" s="12"/>
      <c r="D21" s="13"/>
      <c r="E21" s="14"/>
      <c r="F21" s="15">
        <f>SUM(F20)</f>
        <v>6674</v>
      </c>
      <c r="G21" s="15"/>
      <c r="H21" s="15">
        <f>SUM(H20)</f>
        <v>3743361.2600000002</v>
      </c>
      <c r="I21" s="15">
        <f ca="1">SUM(INDIRECT("i4:i"&amp;ROW()-1))</f>
        <v>0</v>
      </c>
      <c r="J21" s="15">
        <f>SUM(J20)</f>
        <v>0</v>
      </c>
      <c r="K21" s="15">
        <f ca="1">SUM(INDIRECT("k4:k"&amp;ROW()-1))</f>
        <v>0</v>
      </c>
      <c r="L21" s="15"/>
      <c r="M21" s="61">
        <f>H21-L21</f>
        <v>3743361.2600000002</v>
      </c>
      <c r="N21" s="15">
        <f ca="1">F21-I21</f>
        <v>6674</v>
      </c>
      <c r="O21" s="15">
        <f ca="1">M21/N21</f>
        <v>560.88721306562786</v>
      </c>
      <c r="P21" s="15">
        <f>SUM(P20)</f>
        <v>0</v>
      </c>
      <c r="R21" s="24">
        <f>SUM(R17:R20)</f>
        <v>0</v>
      </c>
      <c r="S21" s="24">
        <f t="shared" ref="S21" si="10">SUM(S17:S20)</f>
        <v>0</v>
      </c>
      <c r="T21" s="24">
        <f>SUM(T17:T20)</f>
        <v>0</v>
      </c>
      <c r="U21" s="24">
        <f>SUM(U20)</f>
        <v>4152188.1130000004</v>
      </c>
      <c r="V21" s="24">
        <f>SUM(V20)</f>
        <v>0</v>
      </c>
      <c r="W21" s="24">
        <f t="shared" ref="W21:AA21" si="11">SUM(W20)</f>
        <v>0</v>
      </c>
      <c r="X21" s="24">
        <f t="shared" si="11"/>
        <v>0</v>
      </c>
      <c r="Y21" s="24">
        <f t="shared" si="11"/>
        <v>0</v>
      </c>
      <c r="Z21" s="24">
        <f t="shared" si="11"/>
        <v>0</v>
      </c>
      <c r="AA21" s="24">
        <f t="shared" si="11"/>
        <v>0</v>
      </c>
      <c r="AB21" s="24">
        <f>U21-AA21</f>
        <v>4152188.1130000004</v>
      </c>
      <c r="AC21" s="24">
        <f>AB21/F21</f>
        <v>622.14385870542412</v>
      </c>
      <c r="AD21" s="24">
        <f>SGIC!AG24</f>
        <v>0</v>
      </c>
    </row>
    <row r="23" spans="1:30" x14ac:dyDescent="0.25">
      <c r="A23" t="s">
        <v>918</v>
      </c>
      <c r="R23" s="120" t="s">
        <v>20</v>
      </c>
      <c r="S23" s="121"/>
      <c r="T23" s="121"/>
      <c r="U23" s="50"/>
      <c r="V23" s="120" t="s">
        <v>67</v>
      </c>
      <c r="W23" s="121"/>
      <c r="X23" s="121"/>
      <c r="Y23" s="123" t="s">
        <v>13</v>
      </c>
      <c r="Z23" s="124" t="s">
        <v>10</v>
      </c>
      <c r="AA23" s="125" t="s">
        <v>66</v>
      </c>
      <c r="AB23" s="123" t="s">
        <v>15</v>
      </c>
      <c r="AC23" s="123" t="s">
        <v>18</v>
      </c>
      <c r="AD23" s="123" t="s">
        <v>12</v>
      </c>
    </row>
    <row r="24" spans="1:30" ht="75" x14ac:dyDescent="0.25">
      <c r="A24" s="1" t="s">
        <v>57</v>
      </c>
      <c r="B24" s="2" t="s">
        <v>0</v>
      </c>
      <c r="C24" s="2" t="s">
        <v>53</v>
      </c>
      <c r="D24" s="2" t="s">
        <v>1</v>
      </c>
      <c r="E24" s="2" t="s">
        <v>2</v>
      </c>
      <c r="F24" s="2" t="s">
        <v>3</v>
      </c>
      <c r="G24" s="2" t="s">
        <v>4</v>
      </c>
      <c r="H24" s="2" t="s">
        <v>51</v>
      </c>
      <c r="I24" s="2" t="s">
        <v>6</v>
      </c>
      <c r="J24" s="16" t="s">
        <v>7</v>
      </c>
      <c r="K24" s="16" t="s">
        <v>8</v>
      </c>
      <c r="L24" s="2" t="s">
        <v>50</v>
      </c>
      <c r="M24" s="2" t="s">
        <v>14</v>
      </c>
      <c r="N24" s="2" t="s">
        <v>16</v>
      </c>
      <c r="O24" s="4" t="s">
        <v>17</v>
      </c>
      <c r="P24" s="3" t="s">
        <v>11</v>
      </c>
      <c r="R24" s="2" t="s">
        <v>65</v>
      </c>
      <c r="S24" s="2" t="s">
        <v>62</v>
      </c>
      <c r="T24" s="2" t="s">
        <v>5</v>
      </c>
      <c r="U24" s="2" t="s">
        <v>164</v>
      </c>
      <c r="V24" s="16" t="s">
        <v>64</v>
      </c>
      <c r="W24" s="16" t="s">
        <v>62</v>
      </c>
      <c r="X24" s="45" t="s">
        <v>9</v>
      </c>
      <c r="Y24" s="123"/>
      <c r="Z24" s="124"/>
      <c r="AA24" s="125"/>
      <c r="AB24" s="123"/>
      <c r="AC24" s="123"/>
      <c r="AD24" s="123"/>
    </row>
    <row r="25" spans="1:30" x14ac:dyDescent="0.25">
      <c r="A25" s="108">
        <v>1</v>
      </c>
      <c r="B25" t="s">
        <v>142</v>
      </c>
      <c r="D25" s="98">
        <v>45917</v>
      </c>
      <c r="E25" t="s">
        <v>19</v>
      </c>
      <c r="F25" s="59">
        <v>6674</v>
      </c>
      <c r="G25" s="59"/>
      <c r="H25" s="59">
        <v>3743361.2600000002</v>
      </c>
      <c r="I25" s="59">
        <v>0</v>
      </c>
      <c r="J25" s="59">
        <v>0</v>
      </c>
      <c r="K25" s="59">
        <v>0</v>
      </c>
      <c r="L25" s="59"/>
      <c r="M25" s="59">
        <v>3743361.2600000002</v>
      </c>
      <c r="N25" s="59">
        <v>6674</v>
      </c>
      <c r="O25" s="59">
        <v>560.88721306562786</v>
      </c>
      <c r="P25" s="59">
        <v>0</v>
      </c>
      <c r="Q25" s="59"/>
      <c r="R25" s="59">
        <v>0</v>
      </c>
      <c r="S25" s="59">
        <v>0</v>
      </c>
      <c r="T25" s="59">
        <v>0</v>
      </c>
      <c r="U25" s="59">
        <v>4152188.1130000004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4152188.1130000004</v>
      </c>
      <c r="AC25" s="59">
        <v>622.14385870542412</v>
      </c>
      <c r="AD25" s="59">
        <v>0</v>
      </c>
    </row>
  </sheetData>
  <mergeCells count="24">
    <mergeCell ref="AB18:AB19"/>
    <mergeCell ref="AC18:AC19"/>
    <mergeCell ref="AD18:AD19"/>
    <mergeCell ref="R18:T18"/>
    <mergeCell ref="V18:X18"/>
    <mergeCell ref="Y18:Y19"/>
    <mergeCell ref="Z18:Z19"/>
    <mergeCell ref="AA18:AA19"/>
    <mergeCell ref="R5:T5"/>
    <mergeCell ref="AC5:AC6"/>
    <mergeCell ref="AD5:AD6"/>
    <mergeCell ref="V5:X5"/>
    <mergeCell ref="Y5:Y6"/>
    <mergeCell ref="Z5:Z6"/>
    <mergeCell ref="AA5:AA6"/>
    <mergeCell ref="AB5:AB6"/>
    <mergeCell ref="AB23:AB24"/>
    <mergeCell ref="AC23:AC24"/>
    <mergeCell ref="AD23:AD24"/>
    <mergeCell ref="R23:T23"/>
    <mergeCell ref="V23:X23"/>
    <mergeCell ref="Y23:Y24"/>
    <mergeCell ref="Z23:Z24"/>
    <mergeCell ref="AA23:AA24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5831C8-4F9C-44F3-A066-9D03C673ACCA}">
          <x14:formula1>
            <xm:f>VALIDATION!$A$2:$A$7</xm:f>
          </x14:formula1>
          <xm:sqref>E7:E15 E20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3352-8B38-4D0D-A5E7-92CD89184EC6}">
  <dimension ref="A1:AE26"/>
  <sheetViews>
    <sheetView topLeftCell="A10" workbookViewId="0">
      <selection activeCell="B26" sqref="B26"/>
    </sheetView>
  </sheetViews>
  <sheetFormatPr defaultRowHeight="15" x14ac:dyDescent="0.25"/>
  <cols>
    <col min="1" max="1" width="31.5703125" bestFit="1" customWidth="1"/>
    <col min="2" max="2" width="6.85546875" bestFit="1" customWidth="1"/>
    <col min="3" max="3" width="18.28515625" bestFit="1" customWidth="1"/>
    <col min="4" max="4" width="10.28515625" bestFit="1" customWidth="1"/>
    <col min="5" max="5" width="8.85546875" bestFit="1" customWidth="1"/>
    <col min="6" max="6" width="12.140625" bestFit="1" customWidth="1"/>
    <col min="7" max="7" width="8.7109375" bestFit="1" customWidth="1"/>
    <col min="8" max="8" width="16.85546875" bestFit="1" customWidth="1"/>
    <col min="9" max="9" width="10.42578125" bestFit="1" customWidth="1"/>
    <col min="10" max="10" width="9.42578125" bestFit="1" customWidth="1"/>
    <col min="11" max="11" width="10.85546875" bestFit="1" customWidth="1"/>
    <col min="12" max="12" width="12.42578125" bestFit="1" customWidth="1"/>
    <col min="13" max="13" width="16.85546875" bestFit="1" customWidth="1"/>
    <col min="14" max="14" width="12.140625" bestFit="1" customWidth="1"/>
    <col min="15" max="15" width="10.28515625" bestFit="1" customWidth="1"/>
    <col min="16" max="16" width="14" bestFit="1" customWidth="1"/>
    <col min="17" max="17" width="13.85546875" bestFit="1" customWidth="1"/>
    <col min="18" max="18" width="12.85546875" bestFit="1" customWidth="1"/>
    <col min="19" max="19" width="9.5703125" bestFit="1" customWidth="1"/>
    <col min="20" max="20" width="12.85546875" bestFit="1" customWidth="1"/>
    <col min="21" max="21" width="17.7109375" bestFit="1" customWidth="1"/>
    <col min="22" max="23" width="9.140625" bestFit="1" customWidth="1"/>
    <col min="24" max="24" width="10.7109375" bestFit="1" customWidth="1"/>
    <col min="25" max="25" width="8.140625" bestFit="1" customWidth="1"/>
    <col min="26" max="26" width="11.7109375" bestFit="1" customWidth="1"/>
    <col min="27" max="27" width="14.5703125" bestFit="1" customWidth="1"/>
    <col min="28" max="28" width="17.7109375" bestFit="1" customWidth="1"/>
    <col min="29" max="29" width="10.85546875" bestFit="1" customWidth="1"/>
    <col min="30" max="30" width="7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136</v>
      </c>
      <c r="C7" s="6"/>
      <c r="D7" s="7">
        <v>45855</v>
      </c>
      <c r="E7" s="8" t="s">
        <v>19</v>
      </c>
      <c r="F7" s="9">
        <v>4506</v>
      </c>
      <c r="G7" s="9">
        <v>410.19</v>
      </c>
      <c r="H7" s="9">
        <f>Table24283089101314151623242532[[#This Row],[Purchase QTY]]*Table24283089101314151623242532[[#This Row],[PPPU]]</f>
        <v>1848316.14</v>
      </c>
      <c r="I7" s="9"/>
      <c r="J7" s="9"/>
      <c r="K7" s="9"/>
      <c r="L7" s="9"/>
      <c r="M7" s="9">
        <f>Table24283089101314151623242532[[#This Row],[Total Purchase Amount]]</f>
        <v>1848316.14</v>
      </c>
      <c r="N7" s="9">
        <f>IF(Table24283089101314151623242532[[#This Row],[Txn Type]]="opening",Table24283089101314151623242532[[#This Row],[Purchase QTY]],"Error")</f>
        <v>4506</v>
      </c>
      <c r="O7" s="42">
        <f>IFERROR(Table24283089101314151623242532[[#This Row],[TC AP NFRS]]/Table24283089101314151623242532[[#This Row],[Unit Sum]],0)</f>
        <v>410.19</v>
      </c>
      <c r="P7" s="10">
        <f>Table24283089101314151623242532[[#This Row],[Sales Amt]]-Table24283089101314151623242532[[#This Row],[Principal Cost As per  NFRS (In case of Sales)]]</f>
        <v>0</v>
      </c>
      <c r="R7" s="17"/>
      <c r="S7" s="17"/>
      <c r="T7" s="20">
        <f>R7+S7</f>
        <v>0</v>
      </c>
      <c r="U7" s="20">
        <f>AB7</f>
        <v>2249328.4588236753</v>
      </c>
      <c r="V7" s="20"/>
      <c r="W7" s="20"/>
      <c r="X7" s="20"/>
      <c r="Y7" s="46"/>
      <c r="Z7" s="46"/>
      <c r="AA7" s="46"/>
      <c r="AB7" s="46">
        <f>F7*AC7</f>
        <v>2249328.4588236753</v>
      </c>
      <c r="AC7" s="46">
        <v>499.18518837631501</v>
      </c>
      <c r="AD7" s="56"/>
    </row>
    <row r="8" spans="1:31" x14ac:dyDescent="0.25">
      <c r="A8" s="5">
        <f>A7+1</f>
        <v>2</v>
      </c>
      <c r="B8" s="6" t="s">
        <v>136</v>
      </c>
      <c r="C8" s="6" t="s">
        <v>137</v>
      </c>
      <c r="D8" s="7">
        <v>45866</v>
      </c>
      <c r="E8" s="8" t="s">
        <v>55</v>
      </c>
      <c r="F8" s="9">
        <v>678</v>
      </c>
      <c r="G8" s="9">
        <f>Table24283089101314151623242532[[#This Row],[Total Purchase Amount]]/Table24283089101314151623242532[[#This Row],[Purchase QTY]]</f>
        <v>426.11563421828913</v>
      </c>
      <c r="H8" s="9">
        <v>288906.40000000002</v>
      </c>
      <c r="I8" s="9">
        <v>0</v>
      </c>
      <c r="J8" s="9">
        <f>IFERROR(Table24283089101314151623242532[[#This Row],[Sales Amt]]/Table24283089101314151623242532[[#This Row],[Sales Qty]],0)</f>
        <v>0</v>
      </c>
      <c r="K8" s="9">
        <v>0</v>
      </c>
      <c r="L8" s="9">
        <f>Table24283089101314151623242532[[#This Row],[Sales Qty]]*O7</f>
        <v>0</v>
      </c>
      <c r="M8" s="9">
        <f>M7+Table24283089101314151623242532[[#This Row],[Total Purchase Amount]]-Table24283089101314151623242532[[#This Row],[Principal Cost As per  NFRS (In case of Sales)]]</f>
        <v>2137222.54</v>
      </c>
      <c r="N8" s="9">
        <f>N7+Table24283089101314151623242532[[#This Row],[Purchase QTY]]-Table24283089101314151623242532[[#This Row],[Sales Qty]]</f>
        <v>5184</v>
      </c>
      <c r="O8" s="42">
        <f>IFERROR(Table24283089101314151623242532[[#This Row],[TC AP NFRS]]/Table24283089101314151623242532[[#This Row],[Unit Sum]],0)</f>
        <v>412.27286651234567</v>
      </c>
      <c r="P8" s="10">
        <f>Table24283089101314151623242532[[#This Row],[Sales Amt]]-Table24283089101314151623242532[[#This Row],[Principal Cost As per  NFRS (In case of Sales)]]</f>
        <v>0</v>
      </c>
      <c r="R8" s="17">
        <f>43.33+988.69</f>
        <v>1032.02</v>
      </c>
      <c r="S8" s="17">
        <v>25</v>
      </c>
      <c r="T8" s="20">
        <f>R8+S8</f>
        <v>1057.02</v>
      </c>
      <c r="U8" s="20">
        <f>H8+T8</f>
        <v>289963.42000000004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2539291.8788236752</v>
      </c>
      <c r="AC8" s="20">
        <f>IFERROR(AB8/N8,0)</f>
        <v>489.83253835333244</v>
      </c>
      <c r="AD8" s="56">
        <f>Z8-AA8+Y8</f>
        <v>0</v>
      </c>
    </row>
    <row r="9" spans="1:31" x14ac:dyDescent="0.25">
      <c r="A9" s="5">
        <f t="shared" ref="A9:A15" si="0">A8+1</f>
        <v>3</v>
      </c>
      <c r="B9" s="6" t="s">
        <v>136</v>
      </c>
      <c r="C9" s="6" t="s">
        <v>147</v>
      </c>
      <c r="D9" s="7">
        <v>45867</v>
      </c>
      <c r="E9" s="8" t="s">
        <v>55</v>
      </c>
      <c r="F9" s="9">
        <v>1000</v>
      </c>
      <c r="G9" s="9">
        <f>IF(Table24283089101314151623242532[[#This Row],[SPPU]]&gt;0,0,Table24283089101314151623242532[[#This Row],[Total Purchase Amount]]/Table24283089101314151623242532[[#This Row],[Purchase QTY]])</f>
        <v>434</v>
      </c>
      <c r="H9" s="9">
        <v>434000</v>
      </c>
      <c r="I9" s="9"/>
      <c r="J9" s="9">
        <f>IFERROR(Table24283089101314151623242532[[#This Row],[Sales Amt]]/Table24283089101314151623242532[[#This Row],[Sales Qty]],0)</f>
        <v>0</v>
      </c>
      <c r="K9" s="9"/>
      <c r="L9" s="9">
        <f>Table24283089101314151623242532[[#This Row],[Sales Qty]]*O8</f>
        <v>0</v>
      </c>
      <c r="M9" s="9">
        <f>M8+Table24283089101314151623242532[[#This Row],[Total Purchase Amount]]-Table24283089101314151623242532[[#This Row],[Principal Cost As per  NFRS (In case of Sales)]]</f>
        <v>2571222.54</v>
      </c>
      <c r="N9" s="9">
        <f>N8+Table24283089101314151623242532[[#This Row],[Purchase QTY]]-Table24283089101314151623242532[[#This Row],[Sales Qty]]</f>
        <v>6184</v>
      </c>
      <c r="O9" s="42">
        <f>IFERROR(Table24283089101314151623242532[[#This Row],[TC AP NFRS]]/Table24283089101314151623242532[[#This Row],[Unit Sum]],0)</f>
        <v>415.78630983182404</v>
      </c>
      <c r="P9" s="10">
        <f>Table24283089101314151623242532[[#This Row],[Sales Amt]]-Table24283089101314151623242532[[#This Row],[Principal Cost As per  NFRS (In case of Sales)]]</f>
        <v>0</v>
      </c>
      <c r="R9" s="17">
        <f>65.13+1482.75</f>
        <v>1547.88</v>
      </c>
      <c r="S9" s="17">
        <v>25</v>
      </c>
      <c r="T9" s="20">
        <f t="shared" ref="T9:T15" si="1">R9+S9</f>
        <v>1572.88</v>
      </c>
      <c r="U9" s="20">
        <f t="shared" ref="U9:U15" si="2">H9+T9</f>
        <v>435572.88</v>
      </c>
      <c r="V9" s="20">
        <v>0</v>
      </c>
      <c r="W9" s="20">
        <v>0</v>
      </c>
      <c r="X9" s="55">
        <f t="shared" ref="X9:X15" si="3">V9+W9</f>
        <v>0</v>
      </c>
      <c r="Y9" s="20">
        <v>0</v>
      </c>
      <c r="Z9" s="20">
        <f t="shared" ref="Z9:Z15" si="4">K9-X9-Y9</f>
        <v>0</v>
      </c>
      <c r="AA9" s="20">
        <f t="shared" ref="AA9:AA15" si="5">I9*AC8</f>
        <v>0</v>
      </c>
      <c r="AB9" s="20">
        <f t="shared" ref="AB9:AB15" si="6">AB8+U9-AA9</f>
        <v>2974864.7588236751</v>
      </c>
      <c r="AC9" s="20">
        <f t="shared" ref="AC9:AC16" si="7">IFERROR(AB9/N9,0)</f>
        <v>481.05833745531618</v>
      </c>
      <c r="AD9" s="56">
        <f t="shared" ref="AD9:AD15" si="8">Z9-AA9+Y9</f>
        <v>0</v>
      </c>
    </row>
    <row r="10" spans="1:3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IF(Table24283089101314151623242532[[#This Row],[SPPU]]&gt;=0,0,Table24283089101314151623242532[[#This Row],[Total Purchase Amount]]/Table24283089101314151623242532[[#This Row],[Purchase QTY]])</f>
        <v>0</v>
      </c>
      <c r="H10" s="9"/>
      <c r="I10" s="9">
        <v>0</v>
      </c>
      <c r="J10" s="9">
        <f>IFERROR(Table24283089101314151623242532[[#This Row],[Sales Amt]]/Table24283089101314151623242532[[#This Row],[Sales Qty]],0)</f>
        <v>0</v>
      </c>
      <c r="K10" s="9">
        <v>0</v>
      </c>
      <c r="L10" s="9">
        <f>Table24283089101314151623242532[[#This Row],[Sales Qty]]*O9</f>
        <v>0</v>
      </c>
      <c r="M10" s="9">
        <f>M9+Table24283089101314151623242532[[#This Row],[Total Purchase Amount]]-Table24283089101314151623242532[[#This Row],[Principal Cost As per  NFRS (In case of Sales)]]</f>
        <v>2571222.54</v>
      </c>
      <c r="N10" s="9">
        <f>N9+Table24283089101314151623242532[[#This Row],[Purchase QTY]]-Table24283089101314151623242532[[#This Row],[Sales Qty]]</f>
        <v>6184</v>
      </c>
      <c r="O10" s="42">
        <f>IFERROR(Table24283089101314151623242532[[#This Row],[TC AP NFRS]]/Table24283089101314151623242532[[#This Row],[Unit Sum]],0)</f>
        <v>415.78630983182404</v>
      </c>
      <c r="P10" s="10">
        <f>Table24283089101314151623242532[[#This Row],[Sales Amt]]-Table24283089101314151623242532[[#This Row],[Principal Cost As per  NFRS (In case of Sales)]]</f>
        <v>0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v>0</v>
      </c>
      <c r="W10" s="20">
        <v>0</v>
      </c>
      <c r="X10" s="55">
        <f t="shared" si="3"/>
        <v>0</v>
      </c>
      <c r="Y10" s="20">
        <v>0</v>
      </c>
      <c r="Z10" s="20">
        <f t="shared" si="4"/>
        <v>0</v>
      </c>
      <c r="AA10" s="20">
        <f t="shared" si="5"/>
        <v>0</v>
      </c>
      <c r="AB10" s="20">
        <f t="shared" si="6"/>
        <v>2974864.7588236751</v>
      </c>
      <c r="AC10" s="20">
        <f t="shared" si="7"/>
        <v>481.05833745531618</v>
      </c>
      <c r="AD10" s="56">
        <f t="shared" si="8"/>
        <v>0</v>
      </c>
    </row>
    <row r="11" spans="1:31" x14ac:dyDescent="0.25">
      <c r="A11" s="5">
        <f t="shared" si="0"/>
        <v>5</v>
      </c>
      <c r="B11" s="6"/>
      <c r="C11" s="6"/>
      <c r="D11" s="7"/>
      <c r="E11" s="8"/>
      <c r="F11" s="9">
        <v>0</v>
      </c>
      <c r="G11" s="9" t="e">
        <f>Table24283089101314151623242532[[#This Row],[Total Purchase Amount]]/Table24283089101314151623242532[[#This Row],[Purchase QTY]]</f>
        <v>#DIV/0!</v>
      </c>
      <c r="H11" s="9">
        <v>0</v>
      </c>
      <c r="I11" s="9">
        <v>0</v>
      </c>
      <c r="J11" s="9">
        <f ca="1">IFERROR(Table24283089101314151623242532[[#This Row],[Sales Amt]]/Table24283089101314151623242532[[#This Row],[Sales Qty]],0)</f>
        <v>0</v>
      </c>
      <c r="K11" s="9">
        <f ca="1">Table24283089101314151623242532[[#This Row],[Sales Qty]]*Table24283089101314151623242532[[#This Row],[SPPU]]</f>
        <v>0</v>
      </c>
      <c r="L11" s="9">
        <f>Table24283089101314151623242532[[#This Row],[Sales Qty]]*O10</f>
        <v>0</v>
      </c>
      <c r="M11" s="9">
        <f>M10+Table24283089101314151623242532[[#This Row],[Total Purchase Amount]]-Table24283089101314151623242532[[#This Row],[Principal Cost As per  NFRS (In case of Sales)]]</f>
        <v>2571222.54</v>
      </c>
      <c r="N11" s="9">
        <f>N10+Table24283089101314151623242532[[#This Row],[Purchase QTY]]-Table24283089101314151623242532[[#This Row],[Sales Qty]]</f>
        <v>6184</v>
      </c>
      <c r="O11" s="42">
        <f>IFERROR(Table24283089101314151623242532[[#This Row],[TC AP NFRS]]/Table24283089101314151623242532[[#This Row],[Unit Sum]],0)</f>
        <v>415.78630983182404</v>
      </c>
      <c r="P11" s="10">
        <f ca="1">Table24283089101314151623242532[[#This Row],[Sales Amt]]-Table24283089101314151623242532[[#This Row],[Principal Cost As per  NFRS (In case of Sales)]]</f>
        <v>0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v>0</v>
      </c>
      <c r="W11" s="20">
        <v>0</v>
      </c>
      <c r="X11" s="55">
        <f t="shared" si="3"/>
        <v>0</v>
      </c>
      <c r="Y11" s="20">
        <v>0</v>
      </c>
      <c r="Z11" s="20">
        <f t="shared" ca="1" si="4"/>
        <v>0</v>
      </c>
      <c r="AA11" s="20">
        <f t="shared" si="5"/>
        <v>0</v>
      </c>
      <c r="AB11" s="20">
        <f t="shared" si="6"/>
        <v>2974864.7588236751</v>
      </c>
      <c r="AC11" s="20">
        <f t="shared" si="7"/>
        <v>481.05833745531618</v>
      </c>
      <c r="AD11" s="56">
        <f t="shared" ca="1" si="8"/>
        <v>0</v>
      </c>
    </row>
    <row r="12" spans="1:3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Table24283089101314151623242532[[#This Row],[Total Purchase Amount]]/Table24283089101314151623242532[[#This Row],[Purchase QTY]]</f>
        <v>#DIV/0!</v>
      </c>
      <c r="H12" s="9">
        <v>0</v>
      </c>
      <c r="I12" s="9">
        <v>0</v>
      </c>
      <c r="J12" s="9">
        <f ca="1">IFERROR(Table24283089101314151623242532[[#This Row],[Sales Amt]]/Table24283089101314151623242532[[#This Row],[Sales Qty]],0)</f>
        <v>0</v>
      </c>
      <c r="K12" s="9">
        <f ca="1">Table24283089101314151623242532[[#This Row],[Sales Qty]]*Table24283089101314151623242532[[#This Row],[SPPU]]</f>
        <v>0</v>
      </c>
      <c r="L12" s="9">
        <f>Table24283089101314151623242532[[#This Row],[Sales Qty]]*O11</f>
        <v>0</v>
      </c>
      <c r="M12" s="9">
        <f>M11+Table24283089101314151623242532[[#This Row],[Total Purchase Amount]]-Table24283089101314151623242532[[#This Row],[Principal Cost As per  NFRS (In case of Sales)]]</f>
        <v>2571222.54</v>
      </c>
      <c r="N12" s="9">
        <f>N11+Table24283089101314151623242532[[#This Row],[Purchase QTY]]-Table24283089101314151623242532[[#This Row],[Sales Qty]]</f>
        <v>6184</v>
      </c>
      <c r="O12" s="42">
        <f>IFERROR(Table24283089101314151623242532[[#This Row],[TC AP NFRS]]/Table24283089101314151623242532[[#This Row],[Unit Sum]],0)</f>
        <v>415.78630983182404</v>
      </c>
      <c r="P12" s="10">
        <f ca="1">Table24283089101314151623242532[[#This Row],[Sales Amt]]-Table24283089101314151623242532[[#This Row],[Principal Cost As per  NFRS (In case of Sales)]]</f>
        <v>0</v>
      </c>
      <c r="R12" s="17">
        <v>0</v>
      </c>
      <c r="S12" s="17"/>
      <c r="T12" s="20">
        <f t="shared" si="1"/>
        <v>0</v>
      </c>
      <c r="U12" s="20">
        <f t="shared" si="2"/>
        <v>0</v>
      </c>
      <c r="V12" s="20">
        <v>0</v>
      </c>
      <c r="W12" s="20">
        <v>0</v>
      </c>
      <c r="X12" s="55">
        <f t="shared" si="3"/>
        <v>0</v>
      </c>
      <c r="Y12" s="20">
        <v>0</v>
      </c>
      <c r="Z12" s="20">
        <f t="shared" ca="1" si="4"/>
        <v>0</v>
      </c>
      <c r="AA12" s="20">
        <f t="shared" si="5"/>
        <v>0</v>
      </c>
      <c r="AB12" s="20">
        <f t="shared" si="6"/>
        <v>2974864.7588236751</v>
      </c>
      <c r="AC12" s="20">
        <f t="shared" si="7"/>
        <v>481.05833745531618</v>
      </c>
      <c r="AD12" s="56">
        <f t="shared" ca="1" si="8"/>
        <v>0</v>
      </c>
    </row>
    <row r="13" spans="1:31" x14ac:dyDescent="0.25">
      <c r="A13" s="5">
        <f t="shared" si="0"/>
        <v>7</v>
      </c>
      <c r="B13" s="6"/>
      <c r="C13" s="6"/>
      <c r="D13" s="7"/>
      <c r="E13" s="8"/>
      <c r="F13" s="9"/>
      <c r="G13" s="9">
        <f>IF(Table24283089101314151623242532[[#This Row],[SPPU]]&gt;=0,0,Table24283089101314151623242532[[#This Row],[Total Purchase Amount]]/Table24283089101314151623242532[[#This Row],[Purchase QTY]])</f>
        <v>0</v>
      </c>
      <c r="H13" s="9"/>
      <c r="I13" s="9">
        <v>0</v>
      </c>
      <c r="J13" s="9">
        <f>IFERROR(Table24283089101314151623242532[[#This Row],[Sales Amt]]/Table24283089101314151623242532[[#This Row],[Sales Qty]],0)</f>
        <v>0</v>
      </c>
      <c r="K13" s="9">
        <v>0</v>
      </c>
      <c r="L13" s="9">
        <f>Table24283089101314151623242532[[#This Row],[Sales Qty]]*O11</f>
        <v>0</v>
      </c>
      <c r="M13" s="9">
        <f>M12+Table24283089101314151623242532[[#This Row],[Total Purchase Amount]]-Table24283089101314151623242532[[#This Row],[Principal Cost As per  NFRS (In case of Sales)]]</f>
        <v>2571222.54</v>
      </c>
      <c r="N13" s="9">
        <f>N12+Table24283089101314151623242532[[#This Row],[Purchase QTY]]-Table24283089101314151623242532[[#This Row],[Sales Qty]]</f>
        <v>6184</v>
      </c>
      <c r="O13" s="42">
        <f>IFERROR(Table24283089101314151623242532[[#This Row],[TC AP NFRS]]/Table24283089101314151623242532[[#This Row],[Unit Sum]],0)</f>
        <v>415.78630983182404</v>
      </c>
      <c r="P13" s="10">
        <f>Table24283089101314151623242532[[#This Row],[Sales Amt]]-Table24283089101314151623242532[[#This Row],[Principal Cost As per  NFRS (In case of Sales)]]</f>
        <v>0</v>
      </c>
      <c r="R13" s="17">
        <v>0</v>
      </c>
      <c r="S13" s="17"/>
      <c r="T13" s="20">
        <f t="shared" si="1"/>
        <v>0</v>
      </c>
      <c r="U13" s="20">
        <f t="shared" si="2"/>
        <v>0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si="4"/>
        <v>0</v>
      </c>
      <c r="AA13" s="20">
        <f t="shared" si="5"/>
        <v>0</v>
      </c>
      <c r="AB13" s="20">
        <f t="shared" si="6"/>
        <v>2974864.7588236751</v>
      </c>
      <c r="AC13" s="20">
        <f t="shared" si="7"/>
        <v>481.05833745531618</v>
      </c>
      <c r="AD13" s="56">
        <f t="shared" si="8"/>
        <v>0</v>
      </c>
    </row>
    <row r="14" spans="1:3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IF(Table24283089101314151623242532[[#This Row],[SPPU]]&gt;=0,0,Table24283089101314151623242532[[#This Row],[Total Purchase Amount]]/Table24283089101314151623242532[[#This Row],[Purchase QTY]])</f>
        <v>0</v>
      </c>
      <c r="H14" s="9"/>
      <c r="I14" s="9">
        <v>0</v>
      </c>
      <c r="J14" s="9">
        <f>IFERROR(Table24283089101314151623242532[[#This Row],[Sales Amt]]/Table24283089101314151623242532[[#This Row],[Sales Qty]],0)</f>
        <v>0</v>
      </c>
      <c r="K14" s="9">
        <v>0</v>
      </c>
      <c r="L14" s="9">
        <f>Table24283089101314151623242532[[#This Row],[Sales Qty]]*O13</f>
        <v>0</v>
      </c>
      <c r="M14" s="9">
        <f>M13+Table24283089101314151623242532[[#This Row],[Total Purchase Amount]]-Table24283089101314151623242532[[#This Row],[Principal Cost As per  NFRS (In case of Sales)]]</f>
        <v>2571222.54</v>
      </c>
      <c r="N14" s="9">
        <f>N13+Table24283089101314151623242532[[#This Row],[Purchase QTY]]-Table24283089101314151623242532[[#This Row],[Sales Qty]]</f>
        <v>6184</v>
      </c>
      <c r="O14" s="42">
        <f>IFERROR(Table24283089101314151623242532[[#This Row],[TC AP NFRS]]/Table24283089101314151623242532[[#This Row],[Unit Sum]],0)</f>
        <v>415.78630983182404</v>
      </c>
      <c r="P14" s="10">
        <f>Table24283089101314151623242532[[#This Row],[Sales Amt]]-Table24283089101314151623242532[[#This Row],[Principal Cost As per  NFRS (In case of Sales)]]</f>
        <v>0</v>
      </c>
      <c r="R14" s="17">
        <v>0</v>
      </c>
      <c r="S14" s="17"/>
      <c r="T14" s="20">
        <f t="shared" si="1"/>
        <v>0</v>
      </c>
      <c r="U14" s="20">
        <f t="shared" si="2"/>
        <v>0</v>
      </c>
      <c r="V14" s="20">
        <v>0</v>
      </c>
      <c r="W14" s="20">
        <v>0</v>
      </c>
      <c r="X14" s="55">
        <f t="shared" si="3"/>
        <v>0</v>
      </c>
      <c r="Y14" s="20">
        <v>0</v>
      </c>
      <c r="Z14" s="20">
        <f t="shared" si="4"/>
        <v>0</v>
      </c>
      <c r="AA14" s="20">
        <f t="shared" si="5"/>
        <v>0</v>
      </c>
      <c r="AB14" s="20">
        <f t="shared" si="6"/>
        <v>2974864.7588236751</v>
      </c>
      <c r="AC14" s="20">
        <f t="shared" si="7"/>
        <v>481.05833745531618</v>
      </c>
      <c r="AD14" s="56">
        <f t="shared" si="8"/>
        <v>0</v>
      </c>
    </row>
    <row r="15" spans="1:3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IF(Table24283089101314151623242532[[#This Row],[SPPU]]&gt;=0,0,Table24283089101314151623242532[[#This Row],[Total Purchase Amount]]/Table24283089101314151623242532[[#This Row],[Purchase QTY]])</f>
        <v>0</v>
      </c>
      <c r="H15" s="9"/>
      <c r="I15" s="9">
        <v>0</v>
      </c>
      <c r="J15" s="9">
        <f>IFERROR(Table24283089101314151623242532[[#This Row],[Sales Amt]]/Table24283089101314151623242532[[#This Row],[Sales Qty]],0)</f>
        <v>0</v>
      </c>
      <c r="K15" s="9">
        <v>0</v>
      </c>
      <c r="L15" s="9">
        <f>Table24283089101314151623242532[[#This Row],[Sales Qty]]*O14</f>
        <v>0</v>
      </c>
      <c r="M15" s="9">
        <f>M14+Table24283089101314151623242532[[#This Row],[Total Purchase Amount]]-Table24283089101314151623242532[[#This Row],[Principal Cost As per  NFRS (In case of Sales)]]</f>
        <v>2571222.54</v>
      </c>
      <c r="N15" s="9">
        <f>N14+Table24283089101314151623242532[[#This Row],[Purchase QTY]]-Table24283089101314151623242532[[#This Row],[Sales Qty]]</f>
        <v>6184</v>
      </c>
      <c r="O15" s="42">
        <f>IFERROR(Table24283089101314151623242532[[#This Row],[TC AP NFRS]]/Table24283089101314151623242532[[#This Row],[Unit Sum]],0)</f>
        <v>415.78630983182404</v>
      </c>
      <c r="P15" s="10">
        <f>Table24283089101314151623242532[[#This Row],[Sales Amt]]-Table24283089101314151623242532[[#This Row],[Principal Cost As per  NFRS (In case of Sales)]]</f>
        <v>0</v>
      </c>
      <c r="R15" s="17">
        <v>0</v>
      </c>
      <c r="S15" s="17"/>
      <c r="T15" s="20">
        <f t="shared" si="1"/>
        <v>0</v>
      </c>
      <c r="U15" s="20">
        <f t="shared" si="2"/>
        <v>0</v>
      </c>
      <c r="V15" s="20">
        <v>0</v>
      </c>
      <c r="W15" s="20">
        <v>0</v>
      </c>
      <c r="X15" s="55">
        <f t="shared" si="3"/>
        <v>0</v>
      </c>
      <c r="Y15" s="20">
        <v>0</v>
      </c>
      <c r="Z15" s="20">
        <f t="shared" si="4"/>
        <v>0</v>
      </c>
      <c r="AA15" s="20">
        <f t="shared" si="5"/>
        <v>0</v>
      </c>
      <c r="AB15" s="20">
        <f t="shared" si="6"/>
        <v>2974864.7588236751</v>
      </c>
      <c r="AC15" s="20">
        <f t="shared" si="7"/>
        <v>481.05833745531618</v>
      </c>
      <c r="AD15" s="56">
        <f t="shared" si="8"/>
        <v>0</v>
      </c>
    </row>
    <row r="16" spans="1:31" ht="15.75" x14ac:dyDescent="0.25">
      <c r="A16" s="11" t="s">
        <v>22</v>
      </c>
      <c r="B16" s="12"/>
      <c r="C16" s="12"/>
      <c r="D16" s="13"/>
      <c r="E16" s="14"/>
      <c r="F16" s="15">
        <f ca="1">SUM(INDIRECT("f4:f"&amp;ROW()-1))</f>
        <v>6184</v>
      </c>
      <c r="G16" s="15"/>
      <c r="H16" s="15">
        <f ca="1">SUM(INDIRECT("h4:h"&amp;ROW()-1))</f>
        <v>2571222.54</v>
      </c>
      <c r="I16" s="15">
        <f ca="1">SUM(INDIRECT("i4:i"&amp;ROW()-1))</f>
        <v>0</v>
      </c>
      <c r="J16" s="15" t="e">
        <f ca="1">Table24283089101314151623242532[[#This Row],[Sales Amt]]/Table24283089101314151623242532[[#This Row],[Sales Qty]]</f>
        <v>#DIV/0!</v>
      </c>
      <c r="K16" s="15">
        <f ca="1">SUM(K7:K15)</f>
        <v>0</v>
      </c>
      <c r="L16" s="15">
        <f>SUM(L7:L15)</f>
        <v>0</v>
      </c>
      <c r="M16" s="15">
        <f ca="1">Table24283089101314151623242532[[#This Row],[Total Purchase Amount]]-Table24283089101314151623242532[[#This Row],[Sales Amt]]</f>
        <v>2571222.54</v>
      </c>
      <c r="N16" s="15">
        <f ca="1">Table24283089101314151623242532[[#This Row],[Purchase QTY]]-Table24283089101314151623242532[[#This Row],[Sales Qty]]</f>
        <v>6184</v>
      </c>
      <c r="O16" s="43">
        <f ca="1">Table24283089101314151623242532[[#This Row],[TC AP NFRS]]/Table24283089101314151623242532[[#This Row],[Unit Sum]]</f>
        <v>415.78630983182404</v>
      </c>
      <c r="P16" s="15">
        <f ca="1">SUM(INDIRECT("p4:p"&amp;ROW()-1))</f>
        <v>0</v>
      </c>
      <c r="R16" s="24">
        <f>SUM(R7:R15)</f>
        <v>2579.9</v>
      </c>
      <c r="S16" s="24">
        <f t="shared" ref="S16:AD16" si="9">SUM(S7:S15)</f>
        <v>50</v>
      </c>
      <c r="T16" s="24">
        <f>SUM(T7:T15)</f>
        <v>2629.9</v>
      </c>
      <c r="U16" s="24">
        <f>SUM(U7:U15)</f>
        <v>2974864.7588236751</v>
      </c>
      <c r="V16" s="24">
        <f t="shared" si="9"/>
        <v>0</v>
      </c>
      <c r="W16" s="24">
        <f t="shared" si="9"/>
        <v>0</v>
      </c>
      <c r="X16" s="24">
        <f t="shared" si="9"/>
        <v>0</v>
      </c>
      <c r="Y16" s="24">
        <f t="shared" si="9"/>
        <v>0</v>
      </c>
      <c r="Z16" s="24">
        <f t="shared" ca="1" si="9"/>
        <v>0</v>
      </c>
      <c r="AA16" s="24">
        <f t="shared" si="9"/>
        <v>0</v>
      </c>
      <c r="AB16" s="24">
        <f>U16-AA16</f>
        <v>2974864.7588236751</v>
      </c>
      <c r="AC16" s="24">
        <f t="shared" ca="1" si="7"/>
        <v>481.05833745531618</v>
      </c>
      <c r="AD16" s="24">
        <f t="shared" ca="1" si="9"/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136</v>
      </c>
      <c r="C21" s="97"/>
      <c r="D21" s="98">
        <v>45886</v>
      </c>
      <c r="E21" s="99" t="s">
        <v>19</v>
      </c>
      <c r="F21" s="59">
        <v>6184</v>
      </c>
      <c r="G21" s="59"/>
      <c r="H21" s="59">
        <v>2571222.54</v>
      </c>
      <c r="I21" s="59"/>
      <c r="J21" s="59"/>
      <c r="K21" s="59"/>
      <c r="L21" s="59"/>
      <c r="M21" s="59">
        <v>2571222.54</v>
      </c>
      <c r="N21" s="59">
        <v>6184</v>
      </c>
      <c r="O21" s="59">
        <v>415.78630983182404</v>
      </c>
      <c r="P21" s="59"/>
      <c r="Q21" s="59"/>
      <c r="R21" s="59">
        <v>2579.9</v>
      </c>
      <c r="S21" s="59">
        <v>50</v>
      </c>
      <c r="T21" s="59">
        <v>2629.9</v>
      </c>
      <c r="U21" s="59">
        <v>2974864.7588236751</v>
      </c>
      <c r="V21" s="59"/>
      <c r="W21" s="59"/>
      <c r="X21" s="59"/>
      <c r="Y21" s="59"/>
      <c r="Z21" s="59"/>
      <c r="AA21" s="59"/>
      <c r="AB21" s="59">
        <v>2974864.7588236751</v>
      </c>
      <c r="AC21" s="59">
        <v>481.05833745531618</v>
      </c>
      <c r="AD21" s="59"/>
    </row>
    <row r="22" spans="1:30" ht="15.75" x14ac:dyDescent="0.25">
      <c r="A22" s="113"/>
      <c r="B22" s="114"/>
      <c r="C22" s="114"/>
      <c r="D22" s="115"/>
      <c r="E22" s="113"/>
      <c r="F22" s="15">
        <f>SUM(F21)</f>
        <v>6184</v>
      </c>
      <c r="G22" s="15"/>
      <c r="H22" s="15">
        <f>SUM(H21)</f>
        <v>2571222.54</v>
      </c>
      <c r="I22" s="15">
        <f ca="1">SUM(INDIRECT("i4:i"&amp;ROW()-1))</f>
        <v>0</v>
      </c>
      <c r="J22" s="15">
        <f>SUM(J21)</f>
        <v>0</v>
      </c>
      <c r="K22" s="15">
        <f ca="1">SUM(INDIRECT("k4:k"&amp;ROW()-1))</f>
        <v>0</v>
      </c>
      <c r="L22" s="15"/>
      <c r="M22" s="61">
        <f>H22-L22</f>
        <v>2571222.54</v>
      </c>
      <c r="N22" s="15">
        <f ca="1">F22-I22</f>
        <v>6184</v>
      </c>
      <c r="O22" s="15">
        <f ca="1">M22/N22</f>
        <v>415.78630983182404</v>
      </c>
      <c r="P22" s="15">
        <f>SUM(P21)</f>
        <v>0</v>
      </c>
      <c r="R22" s="24">
        <f>SUM(R18:R21)</f>
        <v>2579.9</v>
      </c>
      <c r="S22" s="24">
        <f t="shared" ref="S22" si="10">SUM(S18:S21)</f>
        <v>50</v>
      </c>
      <c r="T22" s="24">
        <f>SUM(T18:T21)</f>
        <v>2629.9</v>
      </c>
      <c r="U22" s="24">
        <f>SUM(U21)</f>
        <v>2974864.7588236751</v>
      </c>
      <c r="V22" s="24">
        <f>SUM(V21)</f>
        <v>0</v>
      </c>
      <c r="W22" s="24">
        <f t="shared" ref="W22:AA22" si="11">SUM(W21)</f>
        <v>0</v>
      </c>
      <c r="X22" s="24">
        <f t="shared" si="11"/>
        <v>0</v>
      </c>
      <c r="Y22" s="24">
        <f t="shared" si="11"/>
        <v>0</v>
      </c>
      <c r="Z22" s="24">
        <f t="shared" si="11"/>
        <v>0</v>
      </c>
      <c r="AA22" s="24">
        <f t="shared" si="11"/>
        <v>0</v>
      </c>
      <c r="AB22" s="24">
        <f>U22-AA22</f>
        <v>2974864.7588236751</v>
      </c>
      <c r="AC22" s="24">
        <f>AB22/F22</f>
        <v>481.05833745531618</v>
      </c>
      <c r="AD22" s="24">
        <f>SGIC!AG25</f>
        <v>0</v>
      </c>
    </row>
    <row r="24" spans="1:30" x14ac:dyDescent="0.25">
      <c r="A24" t="s">
        <v>918</v>
      </c>
      <c r="R24" s="120" t="s">
        <v>20</v>
      </c>
      <c r="S24" s="121"/>
      <c r="T24" s="121"/>
      <c r="U24" s="50"/>
      <c r="V24" s="120" t="s">
        <v>67</v>
      </c>
      <c r="W24" s="121"/>
      <c r="X24" s="121"/>
      <c r="Y24" s="123" t="s">
        <v>13</v>
      </c>
      <c r="Z24" s="124" t="s">
        <v>10</v>
      </c>
      <c r="AA24" s="125" t="s">
        <v>66</v>
      </c>
      <c r="AB24" s="123" t="s">
        <v>15</v>
      </c>
      <c r="AC24" s="123" t="s">
        <v>18</v>
      </c>
      <c r="AD24" s="123" t="s">
        <v>12</v>
      </c>
    </row>
    <row r="25" spans="1:30" ht="75" x14ac:dyDescent="0.25">
      <c r="A25" s="1" t="s">
        <v>57</v>
      </c>
      <c r="B25" s="2" t="s">
        <v>0</v>
      </c>
      <c r="C25" s="2" t="s">
        <v>53</v>
      </c>
      <c r="D25" s="2" t="s">
        <v>1</v>
      </c>
      <c r="E25" s="2" t="s">
        <v>2</v>
      </c>
      <c r="F25" s="2" t="s">
        <v>3</v>
      </c>
      <c r="G25" s="2" t="s">
        <v>4</v>
      </c>
      <c r="H25" s="2" t="s">
        <v>51</v>
      </c>
      <c r="I25" s="2" t="s">
        <v>6</v>
      </c>
      <c r="J25" s="16" t="s">
        <v>7</v>
      </c>
      <c r="K25" s="16" t="s">
        <v>8</v>
      </c>
      <c r="L25" s="2" t="s">
        <v>50</v>
      </c>
      <c r="M25" s="2" t="s">
        <v>14</v>
      </c>
      <c r="N25" s="2" t="s">
        <v>16</v>
      </c>
      <c r="O25" s="4" t="s">
        <v>17</v>
      </c>
      <c r="P25" s="3" t="s">
        <v>11</v>
      </c>
      <c r="R25" s="2" t="s">
        <v>65</v>
      </c>
      <c r="S25" s="2" t="s">
        <v>62</v>
      </c>
      <c r="T25" s="2" t="s">
        <v>5</v>
      </c>
      <c r="U25" s="2" t="s">
        <v>164</v>
      </c>
      <c r="V25" s="16" t="s">
        <v>64</v>
      </c>
      <c r="W25" s="16" t="s">
        <v>62</v>
      </c>
      <c r="X25" s="45" t="s">
        <v>9</v>
      </c>
      <c r="Y25" s="123"/>
      <c r="Z25" s="124"/>
      <c r="AA25" s="125"/>
      <c r="AB25" s="123"/>
      <c r="AC25" s="123"/>
      <c r="AD25" s="123"/>
    </row>
    <row r="26" spans="1:30" x14ac:dyDescent="0.25">
      <c r="A26" s="96">
        <v>1</v>
      </c>
      <c r="B26" s="97" t="s">
        <v>136</v>
      </c>
      <c r="C26" s="97"/>
      <c r="D26" s="98">
        <v>45917</v>
      </c>
      <c r="E26" s="99" t="s">
        <v>19</v>
      </c>
      <c r="F26" s="59">
        <v>6184</v>
      </c>
      <c r="G26" s="59"/>
      <c r="H26" s="59">
        <v>2571222.54</v>
      </c>
      <c r="I26" s="59">
        <v>0</v>
      </c>
      <c r="J26" s="59">
        <v>0</v>
      </c>
      <c r="K26" s="59">
        <v>0</v>
      </c>
      <c r="L26" s="59"/>
      <c r="M26" s="59">
        <v>2571222.54</v>
      </c>
      <c r="N26" s="59">
        <v>6184</v>
      </c>
      <c r="O26" s="59">
        <v>415.78630983182404</v>
      </c>
      <c r="P26" s="59">
        <v>0</v>
      </c>
      <c r="Q26" s="59"/>
      <c r="R26" s="59">
        <v>2579.9</v>
      </c>
      <c r="S26" s="59">
        <v>50</v>
      </c>
      <c r="T26" s="59">
        <v>2629.9</v>
      </c>
      <c r="U26" s="59">
        <v>2974864.7588236751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2974864.7588236751</v>
      </c>
      <c r="AC26" s="59">
        <v>481.05833745531618</v>
      </c>
      <c r="AD26" s="59">
        <v>0</v>
      </c>
    </row>
  </sheetData>
  <mergeCells count="24">
    <mergeCell ref="AB19:AB20"/>
    <mergeCell ref="AC19:AC20"/>
    <mergeCell ref="AD19:AD20"/>
    <mergeCell ref="R19:T19"/>
    <mergeCell ref="V19:X19"/>
    <mergeCell ref="Y19:Y20"/>
    <mergeCell ref="Z19:Z20"/>
    <mergeCell ref="AA19:AA20"/>
    <mergeCell ref="R5:T5"/>
    <mergeCell ref="AC5:AC6"/>
    <mergeCell ref="AD5:AD6"/>
    <mergeCell ref="V5:X5"/>
    <mergeCell ref="Y5:Y6"/>
    <mergeCell ref="Z5:Z6"/>
    <mergeCell ref="AA5:AA6"/>
    <mergeCell ref="AB5:AB6"/>
    <mergeCell ref="AB24:AB25"/>
    <mergeCell ref="AC24:AC25"/>
    <mergeCell ref="AD24:AD25"/>
    <mergeCell ref="R24:T24"/>
    <mergeCell ref="V24:X24"/>
    <mergeCell ref="Y24:Y25"/>
    <mergeCell ref="Z24:Z25"/>
    <mergeCell ref="AA24:AA25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5D6992-6B7E-4731-815D-FE4EB586C345}">
          <x14:formula1>
            <xm:f>VALIDATION!$A$2:$A$7</xm:f>
          </x14:formula1>
          <xm:sqref>E7:E15 E21:E22 E26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2BEF-2A87-4F2F-A7FA-1733B3899BBF}">
  <dimension ref="A1:AD17"/>
  <sheetViews>
    <sheetView topLeftCell="A7" workbookViewId="0">
      <selection activeCell="J10" sqref="J10"/>
    </sheetView>
  </sheetViews>
  <sheetFormatPr defaultRowHeight="15" x14ac:dyDescent="0.25"/>
  <cols>
    <col min="1" max="1" width="31.5703125" bestFit="1" customWidth="1"/>
    <col min="2" max="2" width="8.42578125" bestFit="1" customWidth="1"/>
    <col min="3" max="3" width="11.5703125" bestFit="1" customWidth="1"/>
    <col min="4" max="4" width="10.28515625" bestFit="1" customWidth="1"/>
    <col min="5" max="5" width="8.85546875" bestFit="1" customWidth="1"/>
    <col min="6" max="6" width="12.140625" bestFit="1" customWidth="1"/>
    <col min="7" max="7" width="10.140625" bestFit="1" customWidth="1"/>
    <col min="8" max="8" width="14.85546875" bestFit="1" customWidth="1"/>
    <col min="9" max="9" width="6.42578125" bestFit="1" customWidth="1"/>
    <col min="10" max="10" width="9.42578125" bestFit="1" customWidth="1"/>
    <col min="11" max="11" width="6.42578125" bestFit="1" customWidth="1"/>
    <col min="12" max="12" width="8.85546875" bestFit="1" customWidth="1"/>
    <col min="13" max="13" width="14.85546875" bestFit="1" customWidth="1"/>
    <col min="14" max="14" width="10.42578125" bestFit="1" customWidth="1"/>
    <col min="15" max="15" width="10.140625" bestFit="1" customWidth="1"/>
    <col min="16" max="16" width="8.140625" bestFit="1" customWidth="1"/>
    <col min="18" max="18" width="12.85546875" bestFit="1" customWidth="1"/>
    <col min="19" max="19" width="9.5703125" bestFit="1" customWidth="1"/>
    <col min="20" max="20" width="12.85546875" bestFit="1" customWidth="1"/>
    <col min="21" max="21" width="15.5703125" bestFit="1" customWidth="1"/>
    <col min="25" max="25" width="17.140625" bestFit="1" customWidth="1"/>
    <col min="26" max="26" width="17.7109375" bestFit="1" customWidth="1"/>
    <col min="27" max="27" width="19.42578125" customWidth="1"/>
    <col min="28" max="28" width="15.5703125" bestFit="1" customWidth="1"/>
    <col min="29" max="29" width="14.7109375" bestFit="1" customWidth="1"/>
    <col min="30" max="30" width="11.8554687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10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x14ac:dyDescent="0.25">
      <c r="A7" s="5">
        <v>1</v>
      </c>
      <c r="B7" s="6" t="s">
        <v>243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Table242830282956[[#This Row],[PPPU]]*Table242830282956[[#This Row],[Purchase QTY]]</f>
        <v>0</v>
      </c>
      <c r="I7" s="9"/>
      <c r="J7" s="9"/>
      <c r="K7" s="9">
        <f>Table242830282956[[#This Row],[Sales Qty]]*Table242830282956[[#This Row],[SPPU]]</f>
        <v>0</v>
      </c>
      <c r="L7" s="9"/>
      <c r="M7" s="9">
        <f>Table242830282956[[#This Row],[Total Purchase Amount]]</f>
        <v>0</v>
      </c>
      <c r="N7" s="9">
        <f>IF(Table242830282956[[#This Row],[Txn Type]]="opening",Table242830282956[[#This Row],[Purchase QTY]],"Error")</f>
        <v>0</v>
      </c>
      <c r="O7" s="42">
        <f>IFERROR(Table242830282956[[#This Row],[TC AP NFRS]]/Table242830282956[[#This Row],[Unit Sum]],0)</f>
        <v>0</v>
      </c>
      <c r="P7" s="10">
        <f>Table242830282956[[#This Row],[Sales Amt]]-Table242830282956[[#This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0" ht="30" x14ac:dyDescent="0.25">
      <c r="A8" s="5">
        <v>2</v>
      </c>
      <c r="B8" s="6" t="s">
        <v>243</v>
      </c>
      <c r="C8" s="6" t="s">
        <v>886</v>
      </c>
      <c r="D8" s="7">
        <v>45880</v>
      </c>
      <c r="E8" s="8" t="s">
        <v>55</v>
      </c>
      <c r="F8" s="9">
        <v>760</v>
      </c>
      <c r="G8" s="9">
        <f>IF(Table242830282956[[#This Row],[SPPU]]&gt;0,0,Table242830282956[[#This Row],[Total Purchase Amount]]/Table242830282956[[#This Row],[Purchase QTY]])</f>
        <v>686.86842105263156</v>
      </c>
      <c r="H8" s="9">
        <v>522020</v>
      </c>
      <c r="I8" s="9">
        <v>0</v>
      </c>
      <c r="J8" s="9">
        <v>0</v>
      </c>
      <c r="K8" s="9">
        <v>0</v>
      </c>
      <c r="L8" s="9">
        <f>Table242830282956[[#This Row],[Sales Qty]]*O7</f>
        <v>0</v>
      </c>
      <c r="M8" s="9">
        <f>M7+Table242830282956[[#This Row],[Total Purchase Amount]]-Table242830282956[[#This Row],[Principal Cost As per  NFRS (In case of Sales)]]</f>
        <v>522020</v>
      </c>
      <c r="N8" s="9">
        <f>N7+Table242830282956[[#This Row],[Purchase QTY]]-Table242830282956[[#This Row],[Sales Qty]]</f>
        <v>760</v>
      </c>
      <c r="O8" s="42">
        <f>IFERROR(Table242830282956[[#This Row],[TC AP NFRS]]/Table242830282956[[#This Row],[Unit Sum]],0)</f>
        <v>686.86842105263156</v>
      </c>
      <c r="P8" s="10">
        <f>Table242830282956[[#This Row],[Sales Amt]]-Table242830282956[[#This Row],[Principal Cost As per  NFRS (In case of Sales)]]</f>
        <v>0</v>
      </c>
      <c r="R8" s="17">
        <f>1731.32+78.31</f>
        <v>1809.6299999999999</v>
      </c>
      <c r="S8" s="17">
        <v>25</v>
      </c>
      <c r="T8" s="20">
        <f>R8+S8</f>
        <v>1834.6299999999999</v>
      </c>
      <c r="U8" s="20">
        <f>H8+T8</f>
        <v>523854.63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523854.63</v>
      </c>
      <c r="AC8" s="20">
        <f>IFERROR(AB8/N8,0)</f>
        <v>689.28240789473682</v>
      </c>
      <c r="AD8" s="56">
        <f>Z8-AA8+Y8</f>
        <v>0</v>
      </c>
    </row>
    <row r="9" spans="1:30" ht="30" x14ac:dyDescent="0.25">
      <c r="A9" s="5">
        <v>3</v>
      </c>
      <c r="B9" s="6" t="s">
        <v>243</v>
      </c>
      <c r="C9" s="6" t="s">
        <v>887</v>
      </c>
      <c r="D9" s="98">
        <v>45882</v>
      </c>
      <c r="E9" s="8" t="s">
        <v>55</v>
      </c>
      <c r="F9" s="9">
        <v>470</v>
      </c>
      <c r="G9" s="20">
        <f>H9/F9</f>
        <v>681.57446808510633</v>
      </c>
      <c r="H9" s="9">
        <v>320340</v>
      </c>
      <c r="I9" s="9">
        <v>0</v>
      </c>
      <c r="J9" s="9">
        <v>0</v>
      </c>
      <c r="K9" s="9">
        <v>0</v>
      </c>
      <c r="L9" s="9"/>
      <c r="M9" s="20">
        <f>M8+H9-L9</f>
        <v>842360</v>
      </c>
      <c r="N9" s="9">
        <f>N8+G9-J9</f>
        <v>1441.5744680851062</v>
      </c>
      <c r="O9" s="42">
        <f>IFERROR(M9/N9,0)</f>
        <v>584.3333234938159</v>
      </c>
      <c r="P9" s="10"/>
      <c r="R9" s="17">
        <f>1091.93+48.06</f>
        <v>1139.99</v>
      </c>
      <c r="S9" s="17">
        <v>25</v>
      </c>
      <c r="T9" s="20">
        <f>R9+S9</f>
        <v>1164.99</v>
      </c>
      <c r="U9" s="20">
        <f>H9+T9</f>
        <v>321504.99</v>
      </c>
      <c r="V9" s="20">
        <v>0</v>
      </c>
      <c r="W9" s="20">
        <v>0</v>
      </c>
      <c r="X9" s="55">
        <f>V9+W9</f>
        <v>0</v>
      </c>
      <c r="Y9" s="20">
        <v>0</v>
      </c>
      <c r="Z9" s="20">
        <f>K9-X9-Y9</f>
        <v>0</v>
      </c>
      <c r="AA9" s="20">
        <f>I9*AC16</f>
        <v>0</v>
      </c>
      <c r="AB9" s="20">
        <f>AB16+U9-AA9</f>
        <v>845359.62</v>
      </c>
      <c r="AC9" s="20">
        <f>IFERROR(AB9/N9,0)</f>
        <v>586.41411783806132</v>
      </c>
      <c r="AD9" s="56">
        <f>Z9-AA9+Y9</f>
        <v>0</v>
      </c>
    </row>
    <row r="10" spans="1:30" ht="15.75" x14ac:dyDescent="0.25">
      <c r="A10" s="11" t="s">
        <v>22</v>
      </c>
      <c r="B10" s="12"/>
      <c r="C10" s="12"/>
      <c r="D10" s="13"/>
      <c r="E10" s="14"/>
      <c r="F10" s="15">
        <f ca="1">SUM(INDIRECT("f4:f"&amp;ROW()-1))</f>
        <v>1230</v>
      </c>
      <c r="G10" s="15">
        <f ca="1">Table242830282956[[#This Row],[Total Purchase Amount]]/Table242830282956[[#This Row],[Purchase QTY]]</f>
        <v>684.84552845528458</v>
      </c>
      <c r="H10" s="15">
        <f ca="1">SUM(INDIRECT("h4:h"&amp;ROW()-1))</f>
        <v>842360</v>
      </c>
      <c r="I10" s="15">
        <f ca="1">SUM(INDIRECT("i4:i"&amp;ROW()-1))</f>
        <v>0</v>
      </c>
      <c r="J10" s="15" t="e">
        <f ca="1">Table242830282956[[#This Row],[Sales Amt]]/Table242830282956[[#This Row],[Sales Qty]]</f>
        <v>#DIV/0!</v>
      </c>
      <c r="K10" s="15">
        <f ca="1">SUM(INDIRECT("k4:k"&amp;ROW()-1))</f>
        <v>0</v>
      </c>
      <c r="L10" s="15"/>
      <c r="M10" s="15">
        <f ca="1">Table242830282956[[#This Row],[Total Purchase Amount]]-Table242830282956[[#This Row],[Principal Cost As per  NFRS (In case of Sales)]]</f>
        <v>842360</v>
      </c>
      <c r="N10" s="15">
        <f ca="1">Table242830282956[[#This Row],[Purchase QTY]]-Table242830282956[[#This Row],[Sales Qty]]</f>
        <v>1230</v>
      </c>
      <c r="O10" s="43">
        <f ca="1">Table242830282956[[#This Row],[TC AP NFRS]]/Table242830282956[[#This Row],[Unit Sum]]</f>
        <v>684.84552845528458</v>
      </c>
      <c r="P10" s="15">
        <f>SUM(P7:P8)</f>
        <v>0</v>
      </c>
      <c r="R10" s="24">
        <f t="shared" ref="R10:AA10" si="0">SUM(R7:R8)</f>
        <v>1809.6299999999999</v>
      </c>
      <c r="S10" s="24">
        <f t="shared" si="0"/>
        <v>25</v>
      </c>
      <c r="T10" s="24">
        <f t="shared" si="0"/>
        <v>1834.6299999999999</v>
      </c>
      <c r="U10" s="24">
        <f t="shared" si="0"/>
        <v>523854.63</v>
      </c>
      <c r="V10" s="24">
        <f t="shared" si="0"/>
        <v>0</v>
      </c>
      <c r="W10" s="24">
        <f t="shared" si="0"/>
        <v>0</v>
      </c>
      <c r="X10" s="24">
        <f t="shared" si="0"/>
        <v>0</v>
      </c>
      <c r="Y10" s="24">
        <f t="shared" si="0"/>
        <v>0</v>
      </c>
      <c r="Z10" s="24">
        <f t="shared" si="0"/>
        <v>0</v>
      </c>
      <c r="AA10" s="24">
        <f t="shared" si="0"/>
        <v>0</v>
      </c>
      <c r="AB10" s="24">
        <f>U10-AA10</f>
        <v>523854.63</v>
      </c>
      <c r="AC10" s="24">
        <f t="shared" ref="AC10" ca="1" si="1">IFERROR(AB10/N10,0)</f>
        <v>425.89807317073172</v>
      </c>
      <c r="AD10" s="24">
        <f>SUM(AD7:AD8)</f>
        <v>0</v>
      </c>
    </row>
    <row r="14" spans="1:30" x14ac:dyDescent="0.25">
      <c r="A14" t="s">
        <v>882</v>
      </c>
      <c r="R14" s="120" t="s">
        <v>20</v>
      </c>
      <c r="S14" s="121"/>
      <c r="T14" s="121"/>
      <c r="U14" s="50"/>
      <c r="V14" s="120" t="s">
        <v>67</v>
      </c>
      <c r="W14" s="121"/>
      <c r="X14" s="121"/>
      <c r="Y14" s="123" t="s">
        <v>13</v>
      </c>
      <c r="Z14" s="124" t="s">
        <v>10</v>
      </c>
      <c r="AA14" s="125" t="s">
        <v>66</v>
      </c>
      <c r="AB14" s="123" t="s">
        <v>15</v>
      </c>
      <c r="AC14" s="123" t="s">
        <v>18</v>
      </c>
      <c r="AD14" s="123" t="s">
        <v>12</v>
      </c>
    </row>
    <row r="15" spans="1:30" ht="105" x14ac:dyDescent="0.25">
      <c r="A15" s="1" t="s">
        <v>57</v>
      </c>
      <c r="B15" s="2" t="s">
        <v>0</v>
      </c>
      <c r="C15" s="2" t="s">
        <v>53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51</v>
      </c>
      <c r="I15" s="2" t="s">
        <v>6</v>
      </c>
      <c r="J15" s="16" t="s">
        <v>7</v>
      </c>
      <c r="K15" s="16" t="s">
        <v>8</v>
      </c>
      <c r="L15" s="2" t="s">
        <v>50</v>
      </c>
      <c r="M15" s="2" t="s">
        <v>14</v>
      </c>
      <c r="N15" s="2" t="s">
        <v>16</v>
      </c>
      <c r="O15" s="4" t="s">
        <v>17</v>
      </c>
      <c r="P15" s="3" t="s">
        <v>11</v>
      </c>
      <c r="R15" s="2" t="s">
        <v>65</v>
      </c>
      <c r="S15" s="2" t="s">
        <v>62</v>
      </c>
      <c r="T15" s="2" t="s">
        <v>5</v>
      </c>
      <c r="U15" s="2" t="s">
        <v>164</v>
      </c>
      <c r="V15" s="16" t="s">
        <v>64</v>
      </c>
      <c r="W15" s="16" t="s">
        <v>62</v>
      </c>
      <c r="X15" s="45" t="s">
        <v>9</v>
      </c>
      <c r="Y15" s="123"/>
      <c r="Z15" s="124"/>
      <c r="AA15" s="125"/>
      <c r="AB15" s="123"/>
      <c r="AC15" s="123"/>
      <c r="AD15" s="123"/>
    </row>
    <row r="16" spans="1:30" x14ac:dyDescent="0.25">
      <c r="A16" s="96">
        <v>1</v>
      </c>
      <c r="B16" s="97" t="s">
        <v>243</v>
      </c>
      <c r="C16" s="97"/>
      <c r="D16" s="98">
        <v>45886</v>
      </c>
      <c r="E16" s="99" t="s">
        <v>19</v>
      </c>
      <c r="F16" s="59">
        <v>1230</v>
      </c>
      <c r="G16" s="59">
        <v>684.84552845528458</v>
      </c>
      <c r="H16" s="59">
        <v>842360</v>
      </c>
      <c r="I16" s="59"/>
      <c r="J16" s="59"/>
      <c r="K16" s="59"/>
      <c r="L16" s="59"/>
      <c r="M16" s="59">
        <v>842360</v>
      </c>
      <c r="N16" s="59">
        <v>1230</v>
      </c>
      <c r="O16" s="59">
        <v>684.84552845528458</v>
      </c>
      <c r="P16" s="59"/>
      <c r="Q16" s="59"/>
      <c r="R16" s="59">
        <v>1809.6299999999999</v>
      </c>
      <c r="S16" s="59">
        <v>25</v>
      </c>
      <c r="T16" s="59">
        <v>1834.6299999999999</v>
      </c>
      <c r="U16" s="59">
        <v>523854.63</v>
      </c>
      <c r="V16" s="59"/>
      <c r="W16" s="59"/>
      <c r="X16" s="59"/>
      <c r="Y16" s="59"/>
      <c r="Z16" s="59"/>
      <c r="AA16" s="59"/>
      <c r="AB16" s="59">
        <v>523854.63</v>
      </c>
      <c r="AC16" s="59">
        <v>425.89807317073172</v>
      </c>
      <c r="AD16" s="59"/>
    </row>
    <row r="17" spans="1:1" x14ac:dyDescent="0.25">
      <c r="A17" s="5">
        <v>2</v>
      </c>
    </row>
  </sheetData>
  <mergeCells count="16">
    <mergeCell ref="AC5:AC6"/>
    <mergeCell ref="AD5:AD6"/>
    <mergeCell ref="R14:T14"/>
    <mergeCell ref="V14:X14"/>
    <mergeCell ref="Y14:Y15"/>
    <mergeCell ref="Z14:Z15"/>
    <mergeCell ref="AA14:AA15"/>
    <mergeCell ref="AB14:AB15"/>
    <mergeCell ref="AC14:AC15"/>
    <mergeCell ref="AD14:AD15"/>
    <mergeCell ref="R5:T5"/>
    <mergeCell ref="V5:X5"/>
    <mergeCell ref="Y5:Y6"/>
    <mergeCell ref="Z5:Z6"/>
    <mergeCell ref="AA5:AA6"/>
    <mergeCell ref="AB5:AB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5DDF4C-5E40-49D1-9DE2-8A92042ABE8A}">
          <x14:formula1>
            <xm:f>VALIDATION!$A$2:$A$7</xm:f>
          </x14:formula1>
          <xm:sqref>E7:E9 E16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FE19-88BE-44DB-84C3-9BF80AA27003}">
  <dimension ref="A1:AD4"/>
  <sheetViews>
    <sheetView workbookViewId="0">
      <selection activeCell="A2" sqref="A2"/>
    </sheetView>
  </sheetViews>
  <sheetFormatPr defaultRowHeight="15" x14ac:dyDescent="0.25"/>
  <cols>
    <col min="3" max="3" width="11.85546875" customWidth="1"/>
    <col min="4" max="4" width="10.28515625" bestFit="1" customWidth="1"/>
    <col min="8" max="8" width="11.5703125" bestFit="1" customWidth="1"/>
    <col min="13" max="13" width="11.5703125" bestFit="1" customWidth="1"/>
    <col min="21" max="21" width="11.5703125" bestFit="1" customWidth="1"/>
    <col min="28" max="28" width="11.5703125" bestFit="1" customWidth="1"/>
  </cols>
  <sheetData>
    <row r="1" spans="1:30" x14ac:dyDescent="0.25">
      <c r="A1" t="s">
        <v>58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430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45" x14ac:dyDescent="0.25">
      <c r="A4" s="5">
        <v>2</v>
      </c>
      <c r="B4" s="6" t="s">
        <v>430</v>
      </c>
      <c r="C4" s="6" t="s">
        <v>888</v>
      </c>
      <c r="D4" s="7">
        <v>45882</v>
      </c>
      <c r="E4" s="8" t="s">
        <v>20</v>
      </c>
      <c r="F4" s="9">
        <v>100</v>
      </c>
      <c r="G4" s="9">
        <f>H4/F4</f>
        <v>598</v>
      </c>
      <c r="H4" s="9">
        <v>59800</v>
      </c>
      <c r="I4" s="9">
        <v>0</v>
      </c>
      <c r="J4" s="9">
        <v>0</v>
      </c>
      <c r="K4" s="9">
        <v>0</v>
      </c>
      <c r="L4" s="9">
        <v>0</v>
      </c>
      <c r="M4" s="9">
        <f>M3+H4-L4</f>
        <v>59800</v>
      </c>
      <c r="N4" s="9">
        <f>N3+F4-I4</f>
        <v>100</v>
      </c>
      <c r="O4" s="42">
        <f>IFERROR(M4/N4,0)</f>
        <v>598</v>
      </c>
      <c r="P4" s="10">
        <v>0</v>
      </c>
      <c r="R4" s="17">
        <f>197.34+8.97</f>
        <v>206.31</v>
      </c>
      <c r="S4" s="17">
        <v>25</v>
      </c>
      <c r="T4" s="20">
        <f>R4+S4</f>
        <v>231.31</v>
      </c>
      <c r="U4" s="20">
        <f>H4+T4</f>
        <v>60031.31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60031.31</v>
      </c>
      <c r="AC4" s="20">
        <f>IFERROR(AB4/N4,0)</f>
        <v>600.31309999999996</v>
      </c>
      <c r="AD4" s="56">
        <f>Z4-AA4+Y4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C0D210C-99B7-4D27-8F84-C410827035BF}">
          <x14:formula1>
            <xm:f>VALIDATION!$A$2:$A$7</xm:f>
          </x14:formula1>
          <xm:sqref>E3:E4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404D-7E23-4685-803F-0BC6339556A5}">
  <dimension ref="A1:AD4"/>
  <sheetViews>
    <sheetView workbookViewId="0">
      <selection activeCell="D4" sqref="D4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739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739</v>
      </c>
      <c r="C4" s="6" t="s">
        <v>889</v>
      </c>
      <c r="D4" s="7">
        <v>45886</v>
      </c>
      <c r="E4" s="8" t="s">
        <v>20</v>
      </c>
      <c r="F4" s="9">
        <v>221</v>
      </c>
      <c r="G4" s="9">
        <f>H4/F4</f>
        <v>2017.0452488687783</v>
      </c>
      <c r="H4" s="9">
        <v>445767</v>
      </c>
      <c r="I4" s="9">
        <v>0</v>
      </c>
      <c r="J4" s="9">
        <v>0</v>
      </c>
      <c r="K4" s="9">
        <v>0</v>
      </c>
      <c r="L4" s="9">
        <v>0</v>
      </c>
      <c r="M4" s="9">
        <f>M3+H4-L4</f>
        <v>445767</v>
      </c>
      <c r="N4" s="9">
        <f>N3+F4-I4</f>
        <v>221</v>
      </c>
      <c r="O4" s="42">
        <f>IFERROR(M4/N4,0)</f>
        <v>2017.0452488687783</v>
      </c>
      <c r="P4" s="10">
        <v>0</v>
      </c>
      <c r="R4" s="17">
        <f>197.34+8.97</f>
        <v>206.31</v>
      </c>
      <c r="S4" s="17">
        <v>25</v>
      </c>
      <c r="T4" s="20">
        <f>R4+S4</f>
        <v>231.31</v>
      </c>
      <c r="U4" s="20">
        <f>H4+T4</f>
        <v>445998.31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445998.31</v>
      </c>
      <c r="AC4" s="20">
        <f>IFERROR(AB4/N4,0)</f>
        <v>2018.0919004524887</v>
      </c>
      <c r="AD4" s="56">
        <f>Z4-AA4+Y4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DC4E53-130D-4E1C-9929-3A3B7B1A956B}">
          <x14:formula1>
            <xm:f>VALIDATION!$A$2:$A$7</xm:f>
          </x14:formula1>
          <xm:sqref>E3:E4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C5A9-E399-4932-BA0F-6FF7EA9825B9}">
  <dimension ref="A1:AD4"/>
  <sheetViews>
    <sheetView workbookViewId="0">
      <selection activeCell="A4" sqref="A4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890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890</v>
      </c>
      <c r="C4" s="6" t="s">
        <v>891</v>
      </c>
      <c r="D4" s="7">
        <v>45886</v>
      </c>
      <c r="E4" s="8" t="s">
        <v>20</v>
      </c>
      <c r="F4" s="9">
        <v>500</v>
      </c>
      <c r="G4" s="9">
        <f>H4/F4</f>
        <v>976.2</v>
      </c>
      <c r="H4" s="9">
        <v>488100</v>
      </c>
      <c r="I4" s="9">
        <v>0</v>
      </c>
      <c r="J4" s="9">
        <v>0</v>
      </c>
      <c r="K4" s="9">
        <v>0</v>
      </c>
      <c r="L4" s="9">
        <v>0</v>
      </c>
      <c r="M4" s="9">
        <f>M3+H4-L4</f>
        <v>488100</v>
      </c>
      <c r="N4" s="9">
        <f>N3+F4-I4</f>
        <v>500</v>
      </c>
      <c r="O4" s="42">
        <f>IFERROR(M4/N4,0)</f>
        <v>976.2</v>
      </c>
      <c r="P4" s="10">
        <v>0</v>
      </c>
      <c r="R4" s="17">
        <f>1628.57+73.22</f>
        <v>1701.79</v>
      </c>
      <c r="S4" s="17">
        <v>25</v>
      </c>
      <c r="T4" s="20">
        <f>R4+S4</f>
        <v>1726.79</v>
      </c>
      <c r="U4" s="20">
        <f>H4+T4</f>
        <v>489826.79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489826.79</v>
      </c>
      <c r="AC4" s="20">
        <f>IFERROR(AB4/N4,0)</f>
        <v>979.65357999999992</v>
      </c>
      <c r="AD4" s="56">
        <f>Z4-AA4+Y4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5E0DEB-E1E7-464F-B07D-02D7B2163F82}">
          <x14:formula1>
            <xm:f>VALIDATION!$A$2:$A$7</xm:f>
          </x14:formula1>
          <xm:sqref>E3:E4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214BD-803A-405D-9296-693CA2388513}">
  <dimension ref="A1:AD5"/>
  <sheetViews>
    <sheetView tabSelected="1" workbookViewId="0">
      <selection activeCell="H10" sqref="H10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858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858</v>
      </c>
      <c r="C4" s="6" t="s">
        <v>892</v>
      </c>
      <c r="D4" s="7">
        <v>45888</v>
      </c>
      <c r="E4" s="8" t="s">
        <v>20</v>
      </c>
      <c r="F4" s="9">
        <v>870</v>
      </c>
      <c r="G4" s="9">
        <f>H4/F4</f>
        <v>609.0114942528736</v>
      </c>
      <c r="H4" s="9">
        <v>529840</v>
      </c>
      <c r="I4" s="9">
        <v>0</v>
      </c>
      <c r="J4" s="9">
        <v>0</v>
      </c>
      <c r="K4" s="9">
        <v>0</v>
      </c>
      <c r="L4" s="9">
        <v>0</v>
      </c>
      <c r="M4" s="9">
        <f>M3+H4-L4</f>
        <v>529840</v>
      </c>
      <c r="N4" s="9">
        <f>N3+F4-I4</f>
        <v>870</v>
      </c>
      <c r="O4" s="42">
        <f>IFERROR(M4/N4,0)</f>
        <v>609.0114942528736</v>
      </c>
      <c r="P4" s="10">
        <v>0</v>
      </c>
      <c r="R4" s="17">
        <f>1628.57+73.22</f>
        <v>1701.79</v>
      </c>
      <c r="S4" s="17">
        <v>25</v>
      </c>
      <c r="T4" s="20">
        <f>R4+S4</f>
        <v>1726.79</v>
      </c>
      <c r="U4" s="20">
        <f>H4+T4</f>
        <v>531566.79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531566.79</v>
      </c>
      <c r="AC4" s="20">
        <f>IFERROR(AB4/N4,0)</f>
        <v>610.99631034482763</v>
      </c>
      <c r="AD4" s="56">
        <f>Z4-AA4+Y4</f>
        <v>0</v>
      </c>
    </row>
    <row r="5" spans="1:30" ht="30" x14ac:dyDescent="0.25">
      <c r="A5" s="5">
        <v>3</v>
      </c>
      <c r="B5" s="6" t="s">
        <v>858</v>
      </c>
      <c r="C5" s="6" t="s">
        <v>893</v>
      </c>
      <c r="D5" s="7">
        <v>45908</v>
      </c>
      <c r="E5" s="8" t="s">
        <v>20</v>
      </c>
      <c r="F5" s="9">
        <v>100</v>
      </c>
      <c r="G5" s="9">
        <f>H5/F5</f>
        <v>543</v>
      </c>
      <c r="H5" s="9">
        <v>54300</v>
      </c>
      <c r="I5" s="9">
        <v>0</v>
      </c>
      <c r="J5" s="9">
        <v>0</v>
      </c>
      <c r="K5" s="9">
        <v>0</v>
      </c>
      <c r="L5" s="9">
        <v>0</v>
      </c>
      <c r="M5" s="9">
        <f>M4+H5-L5</f>
        <v>584140</v>
      </c>
      <c r="N5" s="9">
        <f>N4+F5-I5</f>
        <v>970</v>
      </c>
      <c r="O5" s="42">
        <f>IFERROR(M5/N5,0)</f>
        <v>602.20618556701027</v>
      </c>
      <c r="P5" s="10">
        <v>0</v>
      </c>
      <c r="R5" s="17">
        <f>195.48+8.14</f>
        <v>203.62</v>
      </c>
      <c r="S5" s="17">
        <v>25</v>
      </c>
      <c r="T5" s="20">
        <f>R5+S5</f>
        <v>228.62</v>
      </c>
      <c r="U5" s="20">
        <f>H5+T5</f>
        <v>54528.62</v>
      </c>
      <c r="V5" s="20">
        <v>0</v>
      </c>
      <c r="W5" s="20">
        <v>0</v>
      </c>
      <c r="X5" s="55">
        <f>V5+W5</f>
        <v>0</v>
      </c>
      <c r="Y5" s="20">
        <v>0</v>
      </c>
      <c r="Z5" s="20">
        <f>K5-X5-Y5</f>
        <v>0</v>
      </c>
      <c r="AA5" s="20">
        <f>I5*AC4</f>
        <v>0</v>
      </c>
      <c r="AB5" s="20">
        <f>AB4+U5-AA5</f>
        <v>586095.41</v>
      </c>
      <c r="AC5" s="20">
        <f>IFERROR(AB5/N5,0)</f>
        <v>604.22207216494849</v>
      </c>
      <c r="AD5" s="56">
        <f>Z5-AA5+Y5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589E03-CBAE-4AA6-AE9E-6DCB1B466075}">
          <x14:formula1>
            <xm:f>VALIDATION!$A$2:$A$7</xm:f>
          </x14:formula1>
          <xm:sqref>E3:E5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63DA-20E1-400E-899C-D4303128DC0A}">
  <dimension ref="A1:AD5"/>
  <sheetViews>
    <sheetView workbookViewId="0">
      <selection activeCell="R5" sqref="R5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448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448</v>
      </c>
      <c r="C4" s="6" t="s">
        <v>894</v>
      </c>
      <c r="D4" s="7">
        <v>45888</v>
      </c>
      <c r="E4" s="8" t="s">
        <v>20</v>
      </c>
      <c r="F4" s="9">
        <v>450</v>
      </c>
      <c r="G4" s="9">
        <f>H4/F4</f>
        <v>404.22222222222223</v>
      </c>
      <c r="H4" s="9">
        <v>181900</v>
      </c>
      <c r="I4" s="9">
        <v>0</v>
      </c>
      <c r="J4" s="9">
        <v>0</v>
      </c>
      <c r="K4" s="9">
        <v>0</v>
      </c>
      <c r="L4" s="9">
        <v>0</v>
      </c>
      <c r="M4" s="9">
        <f>M3+H4-L4</f>
        <v>181900</v>
      </c>
      <c r="N4" s="9">
        <f>N3+F4-I4</f>
        <v>450</v>
      </c>
      <c r="O4" s="42">
        <f>IFERROR(M4/N4,0)</f>
        <v>404.22222222222223</v>
      </c>
      <c r="P4" s="10">
        <v>0</v>
      </c>
      <c r="R4" s="17">
        <f>1628.57+73.22</f>
        <v>1701.79</v>
      </c>
      <c r="S4" s="17">
        <v>25</v>
      </c>
      <c r="T4" s="20">
        <f>R4+S4</f>
        <v>1726.79</v>
      </c>
      <c r="U4" s="20">
        <f>H4+T4</f>
        <v>183626.79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183626.79</v>
      </c>
      <c r="AC4" s="20">
        <f>IFERROR(AB4/N4,0)</f>
        <v>408.05953333333338</v>
      </c>
      <c r="AD4" s="56">
        <f>Z4-AA4+Y4</f>
        <v>0</v>
      </c>
    </row>
    <row r="5" spans="1:30" ht="30" x14ac:dyDescent="0.25">
      <c r="A5" s="5">
        <v>3</v>
      </c>
      <c r="B5" s="6" t="s">
        <v>448</v>
      </c>
      <c r="C5" s="6" t="s">
        <v>912</v>
      </c>
      <c r="D5" s="7">
        <v>45900</v>
      </c>
      <c r="E5" s="8" t="s">
        <v>20</v>
      </c>
      <c r="F5" s="9">
        <v>50</v>
      </c>
      <c r="G5" s="9">
        <f>H5/F5</f>
        <v>384</v>
      </c>
      <c r="H5" s="9">
        <v>19200</v>
      </c>
      <c r="I5" s="9">
        <v>0</v>
      </c>
      <c r="J5" s="9">
        <v>0</v>
      </c>
      <c r="K5" s="9">
        <v>0</v>
      </c>
      <c r="L5" s="9">
        <v>0</v>
      </c>
      <c r="M5" s="9">
        <f>M4+H5-L5</f>
        <v>201100</v>
      </c>
      <c r="N5" s="9">
        <f>N4+F5-I5</f>
        <v>500</v>
      </c>
      <c r="O5" s="42">
        <f>IFERROR(M5/N5,0)</f>
        <v>402.2</v>
      </c>
      <c r="P5" s="10">
        <v>0</v>
      </c>
      <c r="R5" s="17">
        <f>69.12+2.88</f>
        <v>72</v>
      </c>
      <c r="S5" s="17">
        <v>25</v>
      </c>
      <c r="T5" s="20">
        <f>R5+S5</f>
        <v>97</v>
      </c>
      <c r="U5" s="20">
        <f>H5+T5</f>
        <v>19297</v>
      </c>
      <c r="V5" s="20">
        <v>0</v>
      </c>
      <c r="W5" s="20">
        <v>0</v>
      </c>
      <c r="X5" s="55">
        <f>V5+W5</f>
        <v>0</v>
      </c>
      <c r="Y5" s="20">
        <v>0</v>
      </c>
      <c r="Z5" s="20">
        <f>K5-X5-Y5</f>
        <v>0</v>
      </c>
      <c r="AA5" s="20">
        <f>I5*AC4</f>
        <v>0</v>
      </c>
      <c r="AB5" s="20">
        <f>AB4+U5-AA5</f>
        <v>202923.79</v>
      </c>
      <c r="AC5" s="20">
        <f>IFERROR(AB5/N5,0)</f>
        <v>405.84757999999999</v>
      </c>
      <c r="AD5" s="56">
        <f>Z5-AA5+Y5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1C8DF29-5767-4048-8CE0-FCC2EEAD354D}">
          <x14:formula1>
            <xm:f>VALIDATION!$A$2:$A$7</xm:f>
          </x14:formula1>
          <xm:sqref>E3:E5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8E33-6F4C-49F6-850D-F17B2B50E9BC}">
  <dimension ref="A1:AD4"/>
  <sheetViews>
    <sheetView topLeftCell="M1" workbookViewId="0">
      <selection activeCell="AG5" sqref="AG5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1.5703125" bestFit="1" customWidth="1"/>
    <col min="8" max="8" width="12.7109375" bestFit="1" customWidth="1"/>
    <col min="13" max="13" width="14.5703125" bestFit="1" customWidth="1"/>
    <col min="14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4.570312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408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408</v>
      </c>
      <c r="C4" s="6" t="s">
        <v>916</v>
      </c>
      <c r="D4" s="7">
        <v>45908</v>
      </c>
      <c r="E4" s="8" t="s">
        <v>20</v>
      </c>
      <c r="F4" s="9">
        <v>100</v>
      </c>
      <c r="G4" s="9">
        <f>H4/F4</f>
        <v>1920</v>
      </c>
      <c r="H4" s="9">
        <v>192000</v>
      </c>
      <c r="I4" s="9">
        <v>0</v>
      </c>
      <c r="J4" s="9">
        <v>0</v>
      </c>
      <c r="K4" s="9">
        <v>0</v>
      </c>
      <c r="L4" s="9">
        <v>0</v>
      </c>
      <c r="M4" s="9">
        <f>M3+H4-L4</f>
        <v>192000</v>
      </c>
      <c r="N4" s="9">
        <f>N3+F4-I4</f>
        <v>100</v>
      </c>
      <c r="O4" s="42">
        <f>IFERROR(M4/N4,0)</f>
        <v>1920</v>
      </c>
      <c r="P4" s="10">
        <v>0</v>
      </c>
      <c r="R4" s="17">
        <f>633.6+28.8</f>
        <v>662.4</v>
      </c>
      <c r="S4" s="17">
        <v>25</v>
      </c>
      <c r="T4" s="20">
        <f>R4+S4</f>
        <v>687.4</v>
      </c>
      <c r="U4" s="20">
        <f>H4+T4</f>
        <v>192687.4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192687.4</v>
      </c>
      <c r="AC4" s="20">
        <f>IFERROR(AB4/N4,0)</f>
        <v>1926.874</v>
      </c>
      <c r="AD4" s="56">
        <f>Z4-AA4+Y4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C849AE-6D3C-40D9-BDFC-04203A167CC0}">
          <x14:formula1>
            <xm:f>VALIDATION!$A$2:$A$7</xm:f>
          </x14:formula1>
          <xm:sqref>E3:E4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593C0-9B9E-4421-BDBE-2F6A6098406D}">
  <dimension ref="A1:AD4"/>
  <sheetViews>
    <sheetView topLeftCell="J1" workbookViewId="0">
      <selection activeCell="AD4" sqref="AD4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1.5703125" bestFit="1" customWidth="1"/>
    <col min="8" max="8" width="12.7109375" bestFit="1" customWidth="1"/>
    <col min="13" max="13" width="14.5703125" bestFit="1" customWidth="1"/>
    <col min="14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4.570312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408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408</v>
      </c>
      <c r="C4" s="6" t="s">
        <v>915</v>
      </c>
      <c r="D4" s="7">
        <v>45908</v>
      </c>
      <c r="E4" s="8" t="s">
        <v>20</v>
      </c>
      <c r="F4" s="9">
        <v>200</v>
      </c>
      <c r="G4" s="9">
        <f>H4/F4</f>
        <v>670</v>
      </c>
      <c r="H4" s="9">
        <v>134000</v>
      </c>
      <c r="I4" s="9">
        <v>0</v>
      </c>
      <c r="J4" s="9">
        <v>0</v>
      </c>
      <c r="K4" s="9">
        <v>0</v>
      </c>
      <c r="L4" s="9">
        <v>0</v>
      </c>
      <c r="M4" s="9">
        <f>M3+H4-L4</f>
        <v>134000</v>
      </c>
      <c r="N4" s="9">
        <f>N3+F4-I4</f>
        <v>200</v>
      </c>
      <c r="O4" s="42">
        <f>IFERROR(M4/N4,0)</f>
        <v>670</v>
      </c>
      <c r="P4" s="10">
        <v>0</v>
      </c>
      <c r="R4" s="17">
        <f>442.2+20.1</f>
        <v>462.3</v>
      </c>
      <c r="S4" s="17">
        <v>25</v>
      </c>
      <c r="T4" s="20">
        <f>R4+S4</f>
        <v>487.3</v>
      </c>
      <c r="U4" s="20">
        <f>H4+T4</f>
        <v>134487.29999999999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134487.29999999999</v>
      </c>
      <c r="AC4" s="20">
        <f>IFERROR(AB4/N4,0)</f>
        <v>672.43649999999991</v>
      </c>
      <c r="AD4" s="56">
        <f>Z4-AA4+Y4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BED816-924A-43C6-9C69-08E28512AB53}">
          <x14:formula1>
            <xm:f>VALIDATION!$A$2:$A$7</xm:f>
          </x14:formula1>
          <xm:sqref>E3:E4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C868-0EFC-4DB4-8492-A3DC33B567A7}">
  <dimension ref="A1:AD5"/>
  <sheetViews>
    <sheetView workbookViewId="0">
      <selection activeCell="M5" sqref="M5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1.5703125" bestFit="1" customWidth="1"/>
    <col min="8" max="8" width="12.7109375" bestFit="1" customWidth="1"/>
    <col min="13" max="13" width="14.5703125" bestFit="1" customWidth="1"/>
    <col min="14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4.570312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371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371</v>
      </c>
      <c r="C4" s="6" t="s">
        <v>913</v>
      </c>
      <c r="D4" s="7">
        <v>45902</v>
      </c>
      <c r="E4" s="8" t="s">
        <v>20</v>
      </c>
      <c r="F4" s="9">
        <v>700</v>
      </c>
      <c r="G4" s="9">
        <f>H4/F4</f>
        <v>1291.5957142857144</v>
      </c>
      <c r="H4" s="9">
        <v>904117</v>
      </c>
      <c r="I4" s="9">
        <v>0</v>
      </c>
      <c r="J4" s="9">
        <v>0</v>
      </c>
      <c r="K4" s="9">
        <v>0</v>
      </c>
      <c r="L4" s="9">
        <v>0</v>
      </c>
      <c r="M4" s="9">
        <f>M3+H4-L4</f>
        <v>904117</v>
      </c>
      <c r="N4" s="9">
        <f>N3+F4-I4</f>
        <v>700</v>
      </c>
      <c r="O4" s="42">
        <f>IFERROR(M4/N4,0)</f>
        <v>1291.5957142857144</v>
      </c>
      <c r="P4" s="10">
        <v>0</v>
      </c>
      <c r="R4" s="17">
        <f>2862.22+135.63</f>
        <v>2997.85</v>
      </c>
      <c r="S4" s="17">
        <v>25</v>
      </c>
      <c r="T4" s="20">
        <f>R4+S4</f>
        <v>3022.85</v>
      </c>
      <c r="U4" s="20">
        <f>H4+T4</f>
        <v>907139.85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907139.85</v>
      </c>
      <c r="AC4" s="20">
        <f>IFERROR(AB4/N4,0)</f>
        <v>1295.9140714285713</v>
      </c>
      <c r="AD4" s="56">
        <f>Z4-AA4+Y4</f>
        <v>0</v>
      </c>
    </row>
    <row r="5" spans="1:30" ht="30" x14ac:dyDescent="0.25">
      <c r="A5" s="5">
        <v>3</v>
      </c>
      <c r="B5" s="6" t="s">
        <v>371</v>
      </c>
      <c r="C5" s="6" t="s">
        <v>914</v>
      </c>
      <c r="D5" s="7">
        <v>45908</v>
      </c>
      <c r="E5" s="8" t="s">
        <v>20</v>
      </c>
      <c r="F5" s="9">
        <v>500</v>
      </c>
      <c r="G5" s="9">
        <f>H5/F5</f>
        <v>1238.17</v>
      </c>
      <c r="H5" s="9">
        <v>619085</v>
      </c>
      <c r="I5" s="9">
        <v>0</v>
      </c>
      <c r="J5" s="9">
        <v>0</v>
      </c>
      <c r="K5" s="9">
        <v>0</v>
      </c>
      <c r="L5" s="9">
        <v>0</v>
      </c>
      <c r="M5" s="9">
        <f>M4+H5-L5</f>
        <v>1523202</v>
      </c>
      <c r="N5" s="9">
        <f>N4+F5-I5</f>
        <v>1200</v>
      </c>
      <c r="O5" s="42">
        <f>IFERROR(M5/N5,0)</f>
        <v>1269.335</v>
      </c>
      <c r="P5" s="10">
        <v>0</v>
      </c>
      <c r="R5" s="17">
        <v>2142.25</v>
      </c>
      <c r="S5" s="17">
        <v>25</v>
      </c>
      <c r="T5" s="20">
        <f>R5+S5</f>
        <v>2167.25</v>
      </c>
      <c r="U5" s="20">
        <f>H5+T5</f>
        <v>621252.25</v>
      </c>
      <c r="V5" s="20">
        <v>0</v>
      </c>
      <c r="W5" s="20">
        <v>0</v>
      </c>
      <c r="X5" s="55">
        <f>V5+W5</f>
        <v>0</v>
      </c>
      <c r="Y5" s="20">
        <v>0</v>
      </c>
      <c r="Z5" s="20">
        <f>K5-X5-Y5</f>
        <v>0</v>
      </c>
      <c r="AA5" s="20">
        <f>I5*AC4</f>
        <v>0</v>
      </c>
      <c r="AB5" s="20">
        <f>AB4+U5-AA5</f>
        <v>1528392.1</v>
      </c>
      <c r="AC5" s="20">
        <f>IFERROR(AB5/N5,0)</f>
        <v>1273.6600833333334</v>
      </c>
      <c r="AD5" s="56">
        <f>Z5-AA5+Y5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FF1CBE-C8E1-47C0-A3AB-1647C83FC4B5}">
          <x14:formula1>
            <xm:f>VALIDATION!$A$2:$A$7</xm:f>
          </x14:formula1>
          <xm:sqref>E3:E5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CBAE-9975-441F-8B67-2F0725880F4D}">
  <dimension ref="A1:AD5"/>
  <sheetViews>
    <sheetView workbookViewId="0">
      <selection activeCell="A5" sqref="A5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382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382</v>
      </c>
      <c r="C4" s="6" t="s">
        <v>895</v>
      </c>
      <c r="D4" s="7">
        <v>45889</v>
      </c>
      <c r="E4" s="8" t="s">
        <v>20</v>
      </c>
      <c r="F4" s="9">
        <v>45</v>
      </c>
      <c r="G4" s="9">
        <f>H4/F4</f>
        <v>1301</v>
      </c>
      <c r="H4" s="9">
        <v>58545</v>
      </c>
      <c r="I4" s="9">
        <v>0</v>
      </c>
      <c r="J4" s="9">
        <v>0</v>
      </c>
      <c r="K4" s="9">
        <v>0</v>
      </c>
      <c r="L4" s="9">
        <v>0</v>
      </c>
      <c r="M4" s="9">
        <f>M3+H4-L4</f>
        <v>58545</v>
      </c>
      <c r="N4" s="9">
        <f>N3+F4-I4</f>
        <v>45</v>
      </c>
      <c r="O4" s="42">
        <f>IFERROR(M4/N4,0)</f>
        <v>1301</v>
      </c>
      <c r="P4" s="10">
        <v>0</v>
      </c>
      <c r="R4" s="17">
        <f>193.2+8.78</f>
        <v>201.98</v>
      </c>
      <c r="S4" s="17">
        <v>25</v>
      </c>
      <c r="T4" s="20">
        <f>R4+S4</f>
        <v>226.98</v>
      </c>
      <c r="U4" s="20">
        <f>H4+T4</f>
        <v>58771.98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58771.98</v>
      </c>
      <c r="AC4" s="20">
        <f>IFERROR(AB4/N4,0)</f>
        <v>1306.0440000000001</v>
      </c>
      <c r="AD4" s="56">
        <f>Z4-AA4+Y4</f>
        <v>0</v>
      </c>
    </row>
    <row r="5" spans="1:30" ht="30" x14ac:dyDescent="0.25">
      <c r="A5" s="5">
        <v>3</v>
      </c>
      <c r="B5" s="6" t="s">
        <v>382</v>
      </c>
      <c r="C5" s="6" t="s">
        <v>896</v>
      </c>
      <c r="D5" s="7">
        <v>45890</v>
      </c>
      <c r="E5" s="8" t="s">
        <v>20</v>
      </c>
      <c r="F5" s="9">
        <v>485</v>
      </c>
      <c r="G5" s="9">
        <f>H5/F5</f>
        <v>1309.2886597938145</v>
      </c>
      <c r="H5" s="9">
        <v>635005</v>
      </c>
      <c r="I5" s="9">
        <v>0</v>
      </c>
      <c r="J5" s="9">
        <v>0</v>
      </c>
      <c r="K5" s="9">
        <v>0</v>
      </c>
      <c r="L5" s="9">
        <v>0</v>
      </c>
      <c r="M5" s="9">
        <f>M4+H5-L5</f>
        <v>693550</v>
      </c>
      <c r="N5" s="9">
        <f>N4+F5-I5</f>
        <v>530</v>
      </c>
      <c r="O5" s="42">
        <f>IFERROR(M5/N5,0)</f>
        <v>1308.5849056603774</v>
      </c>
      <c r="P5" s="10">
        <v>0</v>
      </c>
      <c r="R5" s="17">
        <f>2095.52+95.25</f>
        <v>2190.77</v>
      </c>
      <c r="S5" s="17">
        <v>25</v>
      </c>
      <c r="T5" s="20">
        <f>R5+S5</f>
        <v>2215.77</v>
      </c>
      <c r="U5" s="20">
        <f>H5+T5</f>
        <v>637220.77</v>
      </c>
      <c r="V5" s="20">
        <v>0</v>
      </c>
      <c r="W5" s="20">
        <v>0</v>
      </c>
      <c r="X5" s="55">
        <f>V5+W5</f>
        <v>0</v>
      </c>
      <c r="Y5" s="20">
        <v>0</v>
      </c>
      <c r="Z5" s="20">
        <f>K5-X5-Y5</f>
        <v>0</v>
      </c>
      <c r="AA5" s="20">
        <f>I5*AC4</f>
        <v>0</v>
      </c>
      <c r="AB5" s="20">
        <f>AB4+U5-AA5</f>
        <v>695992.75</v>
      </c>
      <c r="AC5" s="20">
        <f>IFERROR(AB5/N5,0)</f>
        <v>1313.1938679245284</v>
      </c>
      <c r="AD5" s="56">
        <f>Z5-AA5+Y5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06B382-2D93-44C7-B655-B88A1652F736}">
          <x14:formula1>
            <xm:f>VALIDATION!$A$2:$A$7</xm:f>
          </x14:formula1>
          <xm:sqref>E3:E5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8059-2858-440A-AFC0-52ADD09A8665}">
  <dimension ref="A1:AD5"/>
  <sheetViews>
    <sheetView workbookViewId="0">
      <selection activeCell="L5" sqref="L5"/>
    </sheetView>
  </sheetViews>
  <sheetFormatPr defaultRowHeight="15" x14ac:dyDescent="0.25"/>
  <cols>
    <col min="2" max="2" width="8.42578125" bestFit="1" customWidth="1"/>
    <col min="3" max="3" width="11.5703125" bestFit="1" customWidth="1"/>
    <col min="4" max="4" width="10.28515625" bestFit="1" customWidth="1"/>
    <col min="5" max="5" width="8.85546875" bestFit="1" customWidth="1"/>
    <col min="7" max="7" width="8.7109375" bestFit="1" customWidth="1"/>
    <col min="8" max="8" width="12.7109375" bestFit="1" customWidth="1"/>
    <col min="9" max="10" width="8.7109375" bestFit="1" customWidth="1"/>
    <col min="11" max="13" width="12.7109375" bestFit="1" customWidth="1"/>
    <col min="14" max="14" width="8.7109375" bestFit="1" customWidth="1"/>
    <col min="15" max="15" width="10.28515625" bestFit="1" customWidth="1"/>
    <col min="16" max="16" width="11.5703125" bestFit="1" customWidth="1"/>
    <col min="18" max="18" width="10.28515625" bestFit="1" customWidth="1"/>
    <col min="20" max="20" width="10.28515625" bestFit="1" customWidth="1"/>
    <col min="21" max="21" width="12.7109375" bestFit="1" customWidth="1"/>
    <col min="22" max="22" width="10.42578125" bestFit="1" customWidth="1"/>
    <col min="24" max="24" width="12.140625" bestFit="1" customWidth="1"/>
    <col min="25" max="25" width="17.140625" bestFit="1" customWidth="1"/>
    <col min="26" max="26" width="17.7109375" bestFit="1" customWidth="1"/>
    <col min="27" max="27" width="34.5703125" bestFit="1" customWidth="1"/>
    <col min="28" max="28" width="12.7109375" bestFit="1" customWidth="1"/>
    <col min="29" max="29" width="14.7109375" bestFit="1" customWidth="1"/>
    <col min="30" max="30" width="11.855468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90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897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897</v>
      </c>
      <c r="C4" s="6" t="s">
        <v>898</v>
      </c>
      <c r="D4" s="7">
        <v>45893</v>
      </c>
      <c r="E4" s="8" t="s">
        <v>20</v>
      </c>
      <c r="F4" s="9">
        <v>390</v>
      </c>
      <c r="G4" s="9">
        <f>H4/F4</f>
        <v>913.84615384615381</v>
      </c>
      <c r="H4" s="9">
        <v>356400</v>
      </c>
      <c r="I4" s="9">
        <v>0</v>
      </c>
      <c r="J4" s="9">
        <v>0</v>
      </c>
      <c r="K4" s="9">
        <v>0</v>
      </c>
      <c r="L4" s="9">
        <v>0</v>
      </c>
      <c r="M4" s="9">
        <f>M3+H4-L4</f>
        <v>356400</v>
      </c>
      <c r="N4" s="9">
        <f>N3+F4-I4</f>
        <v>390</v>
      </c>
      <c r="O4" s="42">
        <f>IFERROR(M4/N4,0)</f>
        <v>913.84615384615381</v>
      </c>
      <c r="P4" s="10">
        <v>0</v>
      </c>
      <c r="R4" s="17">
        <f>193.2+8.78</f>
        <v>201.98</v>
      </c>
      <c r="S4" s="17">
        <v>25</v>
      </c>
      <c r="T4" s="20">
        <f>R4+S4</f>
        <v>226.98</v>
      </c>
      <c r="U4" s="20">
        <f>H4+T4</f>
        <v>356626.98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356626.98</v>
      </c>
      <c r="AC4" s="20">
        <f>IFERROR(AB4/N4,0)</f>
        <v>914.4281538461538</v>
      </c>
      <c r="AD4" s="56">
        <f>Z4-AA4+Y4</f>
        <v>0</v>
      </c>
    </row>
    <row r="5" spans="1:30" ht="30" x14ac:dyDescent="0.25">
      <c r="A5" s="5">
        <v>3</v>
      </c>
      <c r="B5" s="6" t="s">
        <v>897</v>
      </c>
      <c r="C5" s="6" t="s">
        <v>917</v>
      </c>
      <c r="D5" s="7">
        <v>45897</v>
      </c>
      <c r="E5" s="8" t="s">
        <v>67</v>
      </c>
      <c r="F5" s="9"/>
      <c r="G5" s="9"/>
      <c r="H5" s="9"/>
      <c r="I5" s="9">
        <v>390</v>
      </c>
      <c r="J5" s="9">
        <f>K5/I5</f>
        <v>946</v>
      </c>
      <c r="K5" s="9">
        <v>368940</v>
      </c>
      <c r="L5" s="9">
        <f>I5*O4</f>
        <v>356400</v>
      </c>
      <c r="M5" s="9">
        <f>M4+H5-L5</f>
        <v>0</v>
      </c>
      <c r="N5" s="9">
        <f>N4+F5-I5</f>
        <v>0</v>
      </c>
      <c r="O5" s="42">
        <f>-IFERROR(M5/N5,0)</f>
        <v>0</v>
      </c>
      <c r="P5" s="10">
        <f>K5-L5</f>
        <v>12540</v>
      </c>
      <c r="R5" s="17"/>
      <c r="S5" s="17"/>
      <c r="T5" s="20"/>
      <c r="U5" s="20"/>
      <c r="V5" s="20">
        <f>1217.5+55.34</f>
        <v>1272.8399999999999</v>
      </c>
      <c r="W5" s="20">
        <v>25</v>
      </c>
      <c r="X5" s="55">
        <f>V5+W5</f>
        <v>1297.8399999999999</v>
      </c>
      <c r="Y5" s="20">
        <v>992.91</v>
      </c>
      <c r="Z5" s="20">
        <f>K5-X5-Y5</f>
        <v>366649.25</v>
      </c>
      <c r="AA5" s="20">
        <f>I5*AC4</f>
        <v>356626.98</v>
      </c>
      <c r="AB5" s="20">
        <f>AB4+U5-AA5</f>
        <v>0</v>
      </c>
      <c r="AC5" s="20">
        <v>917.21</v>
      </c>
      <c r="AD5" s="56">
        <f>Y5+Z5-AA5</f>
        <v>11015.179999999993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50FCFD1-4EF1-4DBD-8C41-76DD61558362}">
          <x14:formula1>
            <xm:f>VALIDATION!$A$2:$A$7</xm:f>
          </x14:formula1>
          <xm:sqref>E3:E4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01B1-E71B-4EEE-8798-EB52B3A5466D}">
  <dimension ref="A1:AD13"/>
  <sheetViews>
    <sheetView view="pageBreakPreview" topLeftCell="R1" zoomScaleNormal="100" zoomScaleSheetLayoutView="100" workbookViewId="0">
      <selection activeCell="AD8" sqref="AD8"/>
    </sheetView>
  </sheetViews>
  <sheetFormatPr defaultRowHeight="15" x14ac:dyDescent="0.25"/>
  <cols>
    <col min="1" max="1" width="31.5703125" bestFit="1" customWidth="1"/>
    <col min="2" max="2" width="8" bestFit="1" customWidth="1"/>
    <col min="3" max="3" width="16.5703125" bestFit="1" customWidth="1"/>
    <col min="4" max="4" width="10.5703125" bestFit="1" customWidth="1"/>
    <col min="5" max="5" width="9.7109375" bestFit="1" customWidth="1"/>
    <col min="6" max="6" width="14.140625" bestFit="1" customWidth="1"/>
    <col min="7" max="7" width="13.7109375" bestFit="1" customWidth="1"/>
    <col min="8" max="8" width="19.85546875" bestFit="1" customWidth="1"/>
    <col min="9" max="10" width="14.140625" bestFit="1" customWidth="1"/>
    <col min="11" max="11" width="20.42578125" bestFit="1" customWidth="1"/>
    <col min="12" max="12" width="19.85546875" bestFit="1" customWidth="1"/>
    <col min="13" max="13" width="13" bestFit="1" customWidth="1"/>
    <col min="14" max="15" width="9.7109375" bestFit="1" customWidth="1"/>
    <col min="16" max="16" width="17.7109375" bestFit="1" customWidth="1"/>
    <col min="17" max="17" width="8.140625" customWidth="1"/>
    <col min="18" max="18" width="10.85546875" bestFit="1" customWidth="1"/>
    <col min="19" max="20" width="9.7109375" bestFit="1" customWidth="1"/>
    <col min="21" max="21" width="20.42578125" bestFit="1" customWidth="1"/>
    <col min="22" max="22" width="15.85546875" bestFit="1" customWidth="1"/>
    <col min="23" max="23" width="12.5703125" bestFit="1" customWidth="1"/>
    <col min="24" max="24" width="17" bestFit="1" customWidth="1"/>
    <col min="25" max="25" width="22.28515625" bestFit="1" customWidth="1"/>
    <col min="26" max="26" width="17.7109375" bestFit="1" customWidth="1"/>
    <col min="27" max="27" width="34.5703125" bestFit="1" customWidth="1"/>
    <col min="28" max="28" width="12.7109375" bestFit="1" customWidth="1"/>
    <col min="29" max="29" width="14.7109375" bestFit="1" customWidth="1"/>
    <col min="30" max="30" width="13.570312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122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44" t="s">
        <v>63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s="59" customFormat="1" x14ac:dyDescent="0.25">
      <c r="A7" s="5">
        <v>1</v>
      </c>
      <c r="B7" s="6" t="s">
        <v>130</v>
      </c>
      <c r="C7" s="6"/>
      <c r="D7" s="7">
        <v>45855</v>
      </c>
      <c r="E7" s="8" t="s">
        <v>19</v>
      </c>
      <c r="F7" s="9">
        <v>900</v>
      </c>
      <c r="G7" s="9">
        <v>626.91</v>
      </c>
      <c r="H7" s="9">
        <f>Table24283028293031[[#This Row],[PPPU]]*Table24283028293031[[#This Row],[Purchase QTY]]</f>
        <v>564219</v>
      </c>
      <c r="I7" s="9"/>
      <c r="J7" s="9"/>
      <c r="K7" s="9">
        <f>Table24283028293031[[#This Row],[Sales Qty]]*Table24283028293031[[#This Row],[SPPU]]</f>
        <v>0</v>
      </c>
      <c r="L7" s="9"/>
      <c r="M7" s="9">
        <f>Table24283028293031[[#This Row],[Total Purchase Amount]]</f>
        <v>564219</v>
      </c>
      <c r="N7" s="9">
        <f>IF(Table24283028293031[[#This Row],[Txn Type]]="opening",Table24283028293031[[#This Row],[Purchase QTY]],"Error")</f>
        <v>900</v>
      </c>
      <c r="O7" s="42">
        <f>IFERROR(Table24283028293031[[#This Row],[TC AP NFRS]]/Table24283028293031[[#This Row],[Unit Sum]],0)</f>
        <v>626.91</v>
      </c>
      <c r="P7" s="10">
        <f>Table24283028293031[[#This Row],[Sales Amt]]-Table24283028293031[[#This Row],[Principal Cost As per  NFRS (In case of Sales)]]</f>
        <v>0</v>
      </c>
      <c r="Q7"/>
      <c r="R7" s="20"/>
      <c r="S7" s="20"/>
      <c r="T7" s="20">
        <f>R7+S7</f>
        <v>0</v>
      </c>
      <c r="U7" s="20">
        <f>AB7</f>
        <v>546768</v>
      </c>
      <c r="V7" s="20"/>
      <c r="W7" s="20"/>
      <c r="X7" s="20">
        <f>V7+W7</f>
        <v>0</v>
      </c>
      <c r="Y7" s="20"/>
      <c r="Z7" s="20"/>
      <c r="AA7" s="20"/>
      <c r="AB7" s="20">
        <f>Table24283028293031[[#This Row],[Purchase QTY]]*AC7</f>
        <v>546768</v>
      </c>
      <c r="AC7" s="20">
        <v>607.52</v>
      </c>
      <c r="AD7" s="56"/>
    </row>
    <row r="8" spans="1:30" s="59" customFormat="1" ht="30" x14ac:dyDescent="0.25">
      <c r="A8" s="5">
        <v>2</v>
      </c>
      <c r="B8" s="6" t="s">
        <v>130</v>
      </c>
      <c r="C8" s="6" t="s">
        <v>131</v>
      </c>
      <c r="D8" s="7">
        <v>45500</v>
      </c>
      <c r="E8" s="8" t="s">
        <v>112</v>
      </c>
      <c r="F8" s="9">
        <v>0</v>
      </c>
      <c r="G8" s="9">
        <f>IF(Table24283028293031[[#This Row],[SPPU]]&gt;0,0,Table24283028293031[[#This Row],[Total Purchase Amount]]/Table24283028293031[[#This Row],[Purchase QTY]])</f>
        <v>0</v>
      </c>
      <c r="H8" s="9">
        <v>0</v>
      </c>
      <c r="I8" s="9">
        <v>900</v>
      </c>
      <c r="J8" s="9">
        <f>Table24283028293031[[#This Row],[Sales Amt]]/Table24283028293031[[#This Row],[Sales Qty]]</f>
        <v>647.77777777777783</v>
      </c>
      <c r="K8" s="9">
        <v>583000</v>
      </c>
      <c r="L8" s="9">
        <f>Table24283028293031[[#This Row],[Sales Qty]]*O7</f>
        <v>564219</v>
      </c>
      <c r="M8" s="9">
        <f>M7+Table24283028293031[[#This Row],[Total Purchase Amount]]-Table24283028293031[[#This Row],[Principal Cost As per  NFRS (In case of Sales)]]</f>
        <v>0</v>
      </c>
      <c r="N8" s="9">
        <f>N7+Table24283028293031[[#This Row],[Purchase QTY]]-Table24283028293031[[#This Row],[Sales Qty]]</f>
        <v>0</v>
      </c>
      <c r="O8" s="42">
        <f>IFERROR(Table24283028293031[[#This Row],[TC AP NFRS]]/Table24283028293031[[#This Row],[Unit Sum]],0)</f>
        <v>0</v>
      </c>
      <c r="P8" s="10">
        <f>Table24283028293031[[#This Row],[Sales Amt]]-Table24283028293031[[#This Row],[Principal Cost As per  NFRS (In case of Sales)]]</f>
        <v>18781</v>
      </c>
      <c r="Q8"/>
      <c r="R8" s="20"/>
      <c r="S8" s="20"/>
      <c r="T8" s="20">
        <f>R8+S8</f>
        <v>0</v>
      </c>
      <c r="U8" s="20">
        <f>T8+Table24283028293031[[#This Row],[Total Purchase Amount]]</f>
        <v>0</v>
      </c>
      <c r="V8" s="20">
        <f>1923.9+87.45</f>
        <v>2011.3500000000001</v>
      </c>
      <c r="W8" s="20">
        <v>25</v>
      </c>
      <c r="X8" s="20">
        <f>V8+W8</f>
        <v>2036.3500000000001</v>
      </c>
      <c r="Y8" s="20">
        <v>3419.75</v>
      </c>
      <c r="Z8" s="20">
        <f>Table24283028293031[[#This Row],[Sales Amt]]-X8-Y8</f>
        <v>577543.9</v>
      </c>
      <c r="AA8" s="20">
        <f>Table24283028293031[[#This Row],[Sales Qty]]*AC7</f>
        <v>546768</v>
      </c>
      <c r="AB8" s="20">
        <f>AB7+U8-AA8</f>
        <v>0</v>
      </c>
      <c r="AC8" s="60">
        <f>IFERROR(AB8/Table24283028293031[[#This Row],[Unit Sum]],0)</f>
        <v>0</v>
      </c>
      <c r="AD8" s="56">
        <f>Z8+Y8-AA8</f>
        <v>34195.650000000023</v>
      </c>
    </row>
    <row r="9" spans="1:30" s="59" customFormat="1" ht="15.75" x14ac:dyDescent="0.25">
      <c r="A9" s="11" t="s">
        <v>22</v>
      </c>
      <c r="B9" s="12"/>
      <c r="C9" s="12"/>
      <c r="D9" s="13"/>
      <c r="E9" s="14"/>
      <c r="F9" s="15">
        <f ca="1">SUM(INDIRECT("f4:f"&amp;ROW()-1))</f>
        <v>900</v>
      </c>
      <c r="G9" s="15">
        <f ca="1">Table24283028293031[[#This Row],[Total Purchase Amount]]/Table24283028293031[[#This Row],[Purchase QTY]]</f>
        <v>626.91</v>
      </c>
      <c r="H9" s="15">
        <f ca="1">SUM(INDIRECT("h4:h"&amp;ROW()-1))</f>
        <v>564219</v>
      </c>
      <c r="I9" s="15">
        <f ca="1">SUM(INDIRECT("i4:i"&amp;ROW()-1))</f>
        <v>900</v>
      </c>
      <c r="J9" s="15">
        <f ca="1">Table24283028293031[[#This Row],[Sales Amt]]/Table24283028293031[[#This Row],[Sales Qty]]</f>
        <v>647.77777777777783</v>
      </c>
      <c r="K9" s="15">
        <f ca="1">SUM(INDIRECT("k4:k"&amp;ROW()-1))</f>
        <v>583000</v>
      </c>
      <c r="L9" s="15">
        <f>SUBTOTAL(109,L7:L8)</f>
        <v>564219</v>
      </c>
      <c r="M9" s="15">
        <f ca="1">Table24283028293031[[#This Row],[Total Purchase Amount]]-Table24283028293031[[#This Row],[Principal Cost As per  NFRS (In case of Sales)]]</f>
        <v>0</v>
      </c>
      <c r="N9" s="15">
        <f ca="1">Table24283028293031[[#This Row],[Purchase QTY]]-Table24283028293031[[#This Row],[Sales Qty]]</f>
        <v>0</v>
      </c>
      <c r="O9" s="43">
        <f ca="1">IFERROR(Table24283028293031[[#This Row],[Unit Sum]]/Table24283028293031[[#This Row],[TC AP NFRS]],0)</f>
        <v>0</v>
      </c>
      <c r="P9" s="15">
        <f>SUM(P7:P8)</f>
        <v>18781</v>
      </c>
      <c r="Q9"/>
      <c r="R9" s="25">
        <f t="shared" ref="R9:V9" si="0">SUM(R7:R8)</f>
        <v>0</v>
      </c>
      <c r="S9" s="25">
        <f t="shared" si="0"/>
        <v>0</v>
      </c>
      <c r="T9" s="25">
        <f t="shared" si="0"/>
        <v>0</v>
      </c>
      <c r="U9" s="25">
        <f t="shared" si="0"/>
        <v>546768</v>
      </c>
      <c r="V9" s="25">
        <f t="shared" si="0"/>
        <v>2011.3500000000001</v>
      </c>
      <c r="W9" s="25">
        <f t="shared" ref="W9:AA9" si="1">SUM(W7:W8)</f>
        <v>25</v>
      </c>
      <c r="X9" s="25">
        <f t="shared" si="1"/>
        <v>2036.3500000000001</v>
      </c>
      <c r="Y9" s="25">
        <f t="shared" si="1"/>
        <v>3419.75</v>
      </c>
      <c r="Z9" s="25">
        <f t="shared" si="1"/>
        <v>577543.9</v>
      </c>
      <c r="AA9" s="25">
        <f t="shared" si="1"/>
        <v>546768</v>
      </c>
      <c r="AB9" s="25">
        <f>U9-AA9</f>
        <v>0</v>
      </c>
      <c r="AC9" s="25">
        <f ca="1">IFERROR(AB9/Table24283028293031[[#This Row],[Unit Sum]],0)</f>
        <v>0</v>
      </c>
      <c r="AD9" s="25">
        <f>SUM(AD7:AD8)</f>
        <v>34195.650000000023</v>
      </c>
    </row>
    <row r="10" spans="1:30" x14ac:dyDescent="0.25">
      <c r="A10" s="5"/>
      <c r="B10" s="6"/>
      <c r="C10" s="6"/>
      <c r="D10" s="7"/>
      <c r="E10" s="8"/>
      <c r="F10" s="9"/>
      <c r="G10" s="9" t="e">
        <f>Table24283028293031[[#This Row],[Total Purchase Amount]]/Table24283028293031[[#This Row],[Purchase QTY]]</f>
        <v>#DIV/0!</v>
      </c>
      <c r="H10" s="9"/>
      <c r="I10" s="9"/>
      <c r="J10" s="9"/>
      <c r="K10" s="9">
        <f>Table24283028293031[[#This Row],[Sales Qty]]*Table24283028293031[[#This Row],[SPPU]]</f>
        <v>0</v>
      </c>
      <c r="L10" s="9"/>
      <c r="M10" s="9"/>
      <c r="N10" s="9"/>
      <c r="O10" s="42" t="e">
        <f>Table24283028293031[[#This Row],[TC AP NFRS]]/Table24283028293031[[#This Row],[Unit Sum]]</f>
        <v>#DIV/0!</v>
      </c>
      <c r="P10" s="10"/>
    </row>
    <row r="11" spans="1:30" x14ac:dyDescent="0.25">
      <c r="A11" t="s">
        <v>882</v>
      </c>
      <c r="R11" s="120" t="s">
        <v>20</v>
      </c>
      <c r="S11" s="121"/>
      <c r="T11" s="121"/>
      <c r="U11" s="50"/>
      <c r="V11" s="120" t="s">
        <v>67</v>
      </c>
      <c r="W11" s="121"/>
      <c r="X11" s="121"/>
      <c r="Y11" s="123" t="s">
        <v>13</v>
      </c>
      <c r="Z11" s="124" t="s">
        <v>10</v>
      </c>
      <c r="AA11" s="125" t="s">
        <v>66</v>
      </c>
      <c r="AB11" s="123" t="s">
        <v>15</v>
      </c>
      <c r="AC11" s="123" t="s">
        <v>18</v>
      </c>
      <c r="AD11" s="123" t="s">
        <v>12</v>
      </c>
    </row>
    <row r="12" spans="1:30" ht="75" x14ac:dyDescent="0.25">
      <c r="A12" s="1" t="s">
        <v>57</v>
      </c>
      <c r="B12" s="2" t="s">
        <v>0</v>
      </c>
      <c r="C12" s="2" t="s">
        <v>53</v>
      </c>
      <c r="D12" s="2" t="s">
        <v>1</v>
      </c>
      <c r="E12" s="2" t="s">
        <v>2</v>
      </c>
      <c r="F12" s="2" t="s">
        <v>3</v>
      </c>
      <c r="G12" s="2" t="s">
        <v>4</v>
      </c>
      <c r="H12" s="2" t="s">
        <v>51</v>
      </c>
      <c r="I12" s="2" t="s">
        <v>6</v>
      </c>
      <c r="J12" s="16" t="s">
        <v>7</v>
      </c>
      <c r="K12" s="16" t="s">
        <v>8</v>
      </c>
      <c r="L12" s="2" t="s">
        <v>50</v>
      </c>
      <c r="M12" s="2" t="s">
        <v>14</v>
      </c>
      <c r="N12" s="2" t="s">
        <v>16</v>
      </c>
      <c r="O12" s="4" t="s">
        <v>17</v>
      </c>
      <c r="P12" s="3" t="s">
        <v>11</v>
      </c>
      <c r="R12" s="2" t="s">
        <v>65</v>
      </c>
      <c r="S12" s="2" t="s">
        <v>62</v>
      </c>
      <c r="T12" s="2" t="s">
        <v>5</v>
      </c>
      <c r="U12" s="2" t="s">
        <v>164</v>
      </c>
      <c r="V12" s="16" t="s">
        <v>64</v>
      </c>
      <c r="W12" s="16" t="s">
        <v>62</v>
      </c>
      <c r="X12" s="45" t="s">
        <v>9</v>
      </c>
      <c r="Y12" s="123"/>
      <c r="Z12" s="124"/>
      <c r="AA12" s="125"/>
      <c r="AB12" s="123"/>
      <c r="AC12" s="123"/>
      <c r="AD12" s="123"/>
    </row>
    <row r="13" spans="1:30" x14ac:dyDescent="0.25">
      <c r="A13" s="96">
        <v>1</v>
      </c>
      <c r="B13" s="97" t="s">
        <v>130</v>
      </c>
      <c r="C13" s="97"/>
      <c r="D13" s="98">
        <v>45886</v>
      </c>
      <c r="E13" s="99" t="s">
        <v>19</v>
      </c>
      <c r="F13" s="59">
        <v>900</v>
      </c>
      <c r="G13" s="59">
        <v>626.91</v>
      </c>
      <c r="H13" s="59">
        <v>564219</v>
      </c>
      <c r="I13" s="59">
        <v>900</v>
      </c>
      <c r="J13" s="59">
        <v>647.77777777777783</v>
      </c>
      <c r="K13" s="59">
        <v>583000</v>
      </c>
      <c r="L13" s="59">
        <v>564219</v>
      </c>
      <c r="M13" s="59">
        <v>0</v>
      </c>
      <c r="N13" s="59">
        <v>0</v>
      </c>
      <c r="O13" s="59">
        <v>0</v>
      </c>
      <c r="P13" s="59">
        <v>18781</v>
      </c>
      <c r="Q13" s="59"/>
      <c r="R13" s="59">
        <v>0</v>
      </c>
      <c r="S13" s="59">
        <v>0</v>
      </c>
      <c r="T13" s="59">
        <v>0</v>
      </c>
      <c r="U13" s="59">
        <v>546768</v>
      </c>
      <c r="V13" s="59">
        <v>2011.3500000000001</v>
      </c>
      <c r="W13" s="59">
        <v>25</v>
      </c>
      <c r="X13" s="59">
        <v>2036.3500000000001</v>
      </c>
      <c r="Y13" s="59">
        <v>3419.75</v>
      </c>
      <c r="Z13" s="59">
        <v>577543.9</v>
      </c>
      <c r="AA13" s="59">
        <v>546768</v>
      </c>
      <c r="AB13" s="59">
        <v>0</v>
      </c>
      <c r="AC13" s="59">
        <v>0</v>
      </c>
      <c r="AD13" s="59">
        <v>34195.650000000023</v>
      </c>
    </row>
  </sheetData>
  <mergeCells count="16">
    <mergeCell ref="AB11:AB12"/>
    <mergeCell ref="AC11:AC12"/>
    <mergeCell ref="AD11:AD12"/>
    <mergeCell ref="R11:T11"/>
    <mergeCell ref="V11:X11"/>
    <mergeCell ref="Y11:Y12"/>
    <mergeCell ref="Z11:Z12"/>
    <mergeCell ref="AA11:AA12"/>
    <mergeCell ref="AD5:AD6"/>
    <mergeCell ref="AB5:AB6"/>
    <mergeCell ref="AC5:AC6"/>
    <mergeCell ref="R5:U5"/>
    <mergeCell ref="V5:X5"/>
    <mergeCell ref="Y5:Y6"/>
    <mergeCell ref="Z5:Z6"/>
    <mergeCell ref="AA5:AA6"/>
  </mergeCells>
  <pageMargins left="0.19685039370078741" right="0.23622047244094491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in="3" max="8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42C09A0-22A0-44A2-8FCA-A26839104F33}">
          <x14:formula1>
            <xm:f>VALIDATION!$A$2:$A$7</xm:f>
          </x14:formula1>
          <xm:sqref>E7:E8 E13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0E5A-2606-4B95-B798-4FBFC45424E2}">
  <dimension ref="A1:AD17"/>
  <sheetViews>
    <sheetView topLeftCell="A4" workbookViewId="0">
      <selection activeCell="AD15" sqref="A15:AD16"/>
    </sheetView>
  </sheetViews>
  <sheetFormatPr defaultRowHeight="15" x14ac:dyDescent="0.25"/>
  <cols>
    <col min="2" max="2" width="8.140625" bestFit="1" customWidth="1"/>
    <col min="3" max="3" width="16.85546875" customWidth="1"/>
    <col min="4" max="4" width="10.28515625" bestFit="1" customWidth="1"/>
    <col min="6" max="6" width="11.42578125" bestFit="1" customWidth="1"/>
    <col min="7" max="7" width="10.85546875" bestFit="1" customWidth="1"/>
    <col min="8" max="8" width="15.5703125" bestFit="1" customWidth="1"/>
    <col min="9" max="10" width="10.85546875" bestFit="1" customWidth="1"/>
    <col min="11" max="11" width="15.140625" bestFit="1" customWidth="1"/>
    <col min="12" max="12" width="13.5703125" bestFit="1" customWidth="1"/>
    <col min="13" max="13" width="15.140625" bestFit="1" customWidth="1"/>
    <col min="14" max="14" width="14.5703125" bestFit="1" customWidth="1"/>
    <col min="15" max="15" width="11.42578125" bestFit="1" customWidth="1"/>
    <col min="16" max="16" width="15.140625" bestFit="1" customWidth="1"/>
    <col min="17" max="17" width="13.85546875" bestFit="1" customWidth="1"/>
    <col min="18" max="18" width="15.5703125" bestFit="1" customWidth="1"/>
    <col min="20" max="20" width="10.85546875" bestFit="1" customWidth="1"/>
    <col min="21" max="21" width="15.140625" bestFit="1" customWidth="1"/>
    <col min="28" max="28" width="15.5703125" bestFit="1" customWidth="1"/>
    <col min="29" max="29" width="10.8554687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x14ac:dyDescent="0.25">
      <c r="A7" s="5">
        <v>1</v>
      </c>
      <c r="B7" s="6" t="s">
        <v>128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Table242830282930[[#This Row],[PPPU]]*Table242830282930[[#This Row],[Purchase QTY]]</f>
        <v>0</v>
      </c>
      <c r="I7" s="9"/>
      <c r="J7" s="9"/>
      <c r="K7" s="9">
        <f>Table242830282930[[#This Row],[Sales Qty]]*Table242830282930[[#This Row],[SPPU]]</f>
        <v>0</v>
      </c>
      <c r="L7" s="9"/>
      <c r="M7" s="9">
        <f>Table242830282930[[#This Row],[Total Purchase Amount]]</f>
        <v>0</v>
      </c>
      <c r="N7" s="9">
        <f>IF(Table242830282930[[#This Row],[Txn Type]]="opening",Table242830282930[[#This Row],[Purchase QTY]],"Error")</f>
        <v>0</v>
      </c>
      <c r="O7" s="42">
        <f>IFERROR(Table242830282930[[#This Row],[TC AP NFRS]]/Table242830282930[[#This Row],[Unit Sum]],0)</f>
        <v>0</v>
      </c>
      <c r="P7" s="10">
        <f>Table242830282930[[#This Row],[Sales Amt]]-Table242830282930[[#This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0" ht="30" x14ac:dyDescent="0.25">
      <c r="A8" s="5">
        <v>2</v>
      </c>
      <c r="B8" s="6" t="s">
        <v>128</v>
      </c>
      <c r="C8" s="6" t="s">
        <v>129</v>
      </c>
      <c r="D8" s="7">
        <v>45500</v>
      </c>
      <c r="E8" s="8" t="s">
        <v>55</v>
      </c>
      <c r="F8" s="9">
        <v>1500</v>
      </c>
      <c r="G8" s="9">
        <f>IF(Table242830282930[[#This Row],[SPPU]]&gt;0,0,Table242830282930[[#This Row],[Total Purchase Amount]]/Table242830282930[[#This Row],[Purchase QTY]])</f>
        <v>866.66666666666663</v>
      </c>
      <c r="H8" s="9">
        <v>1300000</v>
      </c>
      <c r="I8" s="9">
        <v>0</v>
      </c>
      <c r="J8" s="9">
        <v>0</v>
      </c>
      <c r="K8" s="9">
        <v>0</v>
      </c>
      <c r="L8" s="9">
        <f>Table242830282930[[#This Row],[Sales Qty]]*O7</f>
        <v>0</v>
      </c>
      <c r="M8" s="9">
        <f>M7+Table242830282930[[#This Row],[Total Purchase Amount]]-Table242830282930[[#This Row],[Principal Cost As per  NFRS (In case of Sales)]]</f>
        <v>1300000</v>
      </c>
      <c r="N8" s="9">
        <f>N7+Table242830282930[[#This Row],[Purchase QTY]]-Table242830282930[[#This Row],[Sales Qty]]</f>
        <v>1500</v>
      </c>
      <c r="O8" s="42">
        <f>IFERROR(Table242830282930[[#This Row],[TC AP NFRS]]/Table242830282930[[#This Row],[Unit Sum]],0)</f>
        <v>866.66666666666663</v>
      </c>
      <c r="P8" s="10">
        <f>Table242830282930[[#This Row],[Sales Amt]]-Table242830282930[[#This Row],[Principal Cost As per  NFRS (In case of Sales)]]</f>
        <v>0</v>
      </c>
      <c r="R8" s="17">
        <f>195+4177.89</f>
        <v>4372.8900000000003</v>
      </c>
      <c r="S8" s="17">
        <v>25</v>
      </c>
      <c r="T8" s="20">
        <f>R8+S8</f>
        <v>4397.8900000000003</v>
      </c>
      <c r="U8" s="20">
        <f>H8+T8</f>
        <v>1304397.8899999999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1304397.8899999999</v>
      </c>
      <c r="AC8" s="20">
        <f>IFERROR(AB8/N8,0)</f>
        <v>869.59859333333327</v>
      </c>
      <c r="AD8" s="56">
        <f>Z8-AA8+Y8</f>
        <v>0</v>
      </c>
    </row>
    <row r="9" spans="1:30" x14ac:dyDescent="0.25">
      <c r="A9" s="5">
        <f>A8+1</f>
        <v>3</v>
      </c>
      <c r="B9" s="6"/>
      <c r="C9" s="6"/>
      <c r="D9" s="7"/>
      <c r="E9" s="8"/>
      <c r="F9" s="9"/>
      <c r="G9" s="9" t="e">
        <f>Table242830282930[[#This Row],[Total Purchase Amount]]/Table242830282930[[#This Row],[Purchase QTY]]</f>
        <v>#DIV/0!</v>
      </c>
      <c r="H9" s="9"/>
      <c r="I9" s="9">
        <v>0</v>
      </c>
      <c r="J9" s="9"/>
      <c r="K9" s="9">
        <f>Table242830282930[[#This Row],[Sales Qty]]*Table242830282930[[#This Row],[SPPU]]</f>
        <v>0</v>
      </c>
      <c r="L9" s="9">
        <f>Table242830282930[[#This Row],[Sales Qty]]*O8</f>
        <v>0</v>
      </c>
      <c r="M9" s="9">
        <f>M8+Table242830282930[[#This Row],[Total Purchase Amount]]-Table242830282930[[#This Row],[Principal Cost As per  NFRS (In case of Sales)]]</f>
        <v>1300000</v>
      </c>
      <c r="N9" s="9">
        <f>N8+Table242830282930[[#This Row],[Purchase QTY]]-Table242830282930[[#This Row],[Sales Qty]]</f>
        <v>1500</v>
      </c>
      <c r="O9" s="42">
        <f>Table242830282930[[#This Row],[TC AP NFRS]]/Table242830282930[[#This Row],[Unit Sum]]</f>
        <v>866.66666666666663</v>
      </c>
      <c r="P9" s="10">
        <f>Table242830282930[[#This Row],[Sales Amt]]-Table242830282930[[#This Row],[Principal Cost As per  NFRS (In case of Sales)]]</f>
        <v>0</v>
      </c>
      <c r="R9" s="17">
        <v>0</v>
      </c>
      <c r="S9" s="17"/>
      <c r="T9" s="20">
        <f t="shared" ref="T9:T11" si="0">R9+S9</f>
        <v>0</v>
      </c>
      <c r="U9" s="20">
        <f t="shared" ref="U9:U11" si="1">H9+T9</f>
        <v>0</v>
      </c>
      <c r="V9" s="20">
        <v>0</v>
      </c>
      <c r="W9" s="20">
        <v>0</v>
      </c>
      <c r="X9" s="55">
        <f t="shared" ref="X9:X11" si="2">V9+W9</f>
        <v>0</v>
      </c>
      <c r="Y9" s="20">
        <v>0</v>
      </c>
      <c r="Z9" s="20">
        <f t="shared" ref="Z9:Z11" si="3">K9-X9-Y9</f>
        <v>0</v>
      </c>
      <c r="AA9" s="20">
        <f t="shared" ref="AA9:AA11" si="4">I9*AC8</f>
        <v>0</v>
      </c>
      <c r="AB9" s="20">
        <f t="shared" ref="AB9:AB11" si="5">AB8+U9-AA9</f>
        <v>1304397.8899999999</v>
      </c>
      <c r="AC9" s="20">
        <f t="shared" ref="AC9:AC12" si="6">IFERROR(AB9/N9,0)</f>
        <v>869.59859333333327</v>
      </c>
      <c r="AD9" s="56">
        <f t="shared" ref="AD9:AD11" si="7">Z9-AA9+Y9</f>
        <v>0</v>
      </c>
    </row>
    <row r="10" spans="1:30" x14ac:dyDescent="0.25">
      <c r="A10" s="5">
        <f>A9+1</f>
        <v>4</v>
      </c>
      <c r="B10" s="6"/>
      <c r="C10" s="6"/>
      <c r="D10" s="7"/>
      <c r="E10" s="8"/>
      <c r="F10" s="9"/>
      <c r="G10" s="9" t="e">
        <f>IF(Table242830282930[[#This Row],[SPPU]]&gt;0,0,Table242830282930[[#This Row],[Total Purchase Amount]]/Table242830282930[[#This Row],[Purchase QTY]])</f>
        <v>#DIV/0!</v>
      </c>
      <c r="H10" s="9"/>
      <c r="I10" s="9">
        <v>0</v>
      </c>
      <c r="J10" s="9"/>
      <c r="K10" s="9">
        <f>Table242830282930[[#This Row],[Sales Qty]]*Table242830282930[[#This Row],[SPPU]]</f>
        <v>0</v>
      </c>
      <c r="L10" s="9">
        <f>Table242830282930[[#This Row],[Sales Qty]]*O9</f>
        <v>0</v>
      </c>
      <c r="M10" s="9">
        <f>M9+Table242830282930[[#This Row],[Total Purchase Amount]]-Table242830282930[[#This Row],[Principal Cost As per  NFRS (In case of Sales)]]</f>
        <v>1300000</v>
      </c>
      <c r="N10" s="9">
        <f>N9+Table242830282930[[#This Row],[Purchase QTY]]-Table242830282930[[#This Row],[Sales Qty]]</f>
        <v>1500</v>
      </c>
      <c r="O10" s="42">
        <f>IFERROR(Table242830282930[[#This Row],[TC AP NFRS]]/Table242830282930[[#This Row],[Unit Sum]],0)</f>
        <v>866.66666666666663</v>
      </c>
      <c r="P10" s="10">
        <f>Table242830282930[[#This Row],[Sales Amt]]-Table242830282930[[#This Row],[Principal Cost As per  NFRS (In case of Sales)]]</f>
        <v>0</v>
      </c>
      <c r="R10" s="17">
        <v>0</v>
      </c>
      <c r="S10" s="17"/>
      <c r="T10" s="20">
        <f t="shared" si="0"/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1304397.8899999999</v>
      </c>
      <c r="AC10" s="20">
        <f t="shared" si="6"/>
        <v>869.59859333333327</v>
      </c>
      <c r="AD10" s="56">
        <f t="shared" si="7"/>
        <v>0</v>
      </c>
    </row>
    <row r="11" spans="1:30" x14ac:dyDescent="0.25">
      <c r="A11" s="5">
        <f t="shared" ref="A11" si="8">A10+1</f>
        <v>5</v>
      </c>
      <c r="B11" s="6"/>
      <c r="C11" s="6"/>
      <c r="D11" s="7"/>
      <c r="E11" s="8"/>
      <c r="F11" s="9"/>
      <c r="G11" s="9" t="e">
        <f>Table242830282930[[#This Row],[Total Purchase Amount]]/Table242830282930[[#This Row],[Purchase QTY]]</f>
        <v>#DIV/0!</v>
      </c>
      <c r="H11" s="9"/>
      <c r="I11" s="9"/>
      <c r="J11" s="9"/>
      <c r="K11" s="9">
        <f>Table242830282930[[#This Row],[Sales Qty]]*Table242830282930[[#This Row],[SPPU]]</f>
        <v>0</v>
      </c>
      <c r="L11" s="9"/>
      <c r="M11" s="9">
        <f>M10+Table242830282930[[#This Row],[Total Purchase Amount]]-Table242830282930[[#This Row],[Principal Cost As per  NFRS (In case of Sales)]]</f>
        <v>1300000</v>
      </c>
      <c r="N11" s="9">
        <f>N10+Table242830282930[[#This Row],[Purchase QTY]]-Table242830282930[[#This Row],[Sales Qty]]</f>
        <v>1500</v>
      </c>
      <c r="O11" s="42">
        <f>Table242830282930[[#This Row],[TC AP NFRS]]/Table242830282930[[#This Row],[Unit Sum]]</f>
        <v>866.66666666666663</v>
      </c>
      <c r="P11" s="10">
        <f>Table242830282930[[#This Row],[Sales Amt]]-Table242830282930[[#This Row],[Principal Cost As per  NFRS (In case of Sales)]]</f>
        <v>0</v>
      </c>
      <c r="R11" s="17">
        <v>0</v>
      </c>
      <c r="S11" s="17"/>
      <c r="T11" s="20">
        <f t="shared" si="0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1304397.8899999999</v>
      </c>
      <c r="AC11" s="20">
        <f t="shared" si="6"/>
        <v>869.59859333333327</v>
      </c>
      <c r="AD11" s="56">
        <f t="shared" si="7"/>
        <v>0</v>
      </c>
    </row>
    <row r="12" spans="1:30" ht="15.75" x14ac:dyDescent="0.25">
      <c r="A12" s="11" t="s">
        <v>22</v>
      </c>
      <c r="B12" s="12"/>
      <c r="C12" s="12"/>
      <c r="D12" s="13"/>
      <c r="E12" s="14"/>
      <c r="F12" s="15">
        <f ca="1">SUM(INDIRECT("f4:f"&amp;ROW()-1))</f>
        <v>1500</v>
      </c>
      <c r="G12" s="15">
        <f ca="1">Table242830282930[[#This Row],[Total Purchase Amount]]/Table242830282930[[#This Row],[Purchase QTY]]</f>
        <v>866.66666666666663</v>
      </c>
      <c r="H12" s="15">
        <f ca="1">SUM(INDIRECT("h4:h"&amp;ROW()-1))</f>
        <v>1300000</v>
      </c>
      <c r="I12" s="15">
        <f ca="1">SUM(INDIRECT("i4:i"&amp;ROW()-1))</f>
        <v>0</v>
      </c>
      <c r="J12" s="15" t="e">
        <f ca="1">Table242830282930[[#This Row],[Sales Amt]]/Table242830282930[[#This Row],[Sales Qty]]</f>
        <v>#DIV/0!</v>
      </c>
      <c r="K12" s="15">
        <f ca="1">SUM(INDIRECT("k4:k"&amp;ROW()-1))</f>
        <v>0</v>
      </c>
      <c r="L12" s="15"/>
      <c r="M12" s="15">
        <f ca="1">Table242830282930[[#This Row],[Total Purchase Amount]]-Table242830282930[[#This Row],[Principal Cost As per  NFRS (In case of Sales)]]</f>
        <v>1300000</v>
      </c>
      <c r="N12" s="15">
        <f ca="1">Table242830282930[[#This Row],[Purchase QTY]]-Table242830282930[[#This Row],[Sales Qty]]</f>
        <v>1500</v>
      </c>
      <c r="O12" s="43">
        <f ca="1">Table242830282930[[#This Row],[TC AP NFRS]]/Table242830282930[[#This Row],[Unit Sum]]</f>
        <v>866.66666666666663</v>
      </c>
      <c r="P12" s="15">
        <f>SUM(P7:P8)</f>
        <v>0</v>
      </c>
      <c r="R12" s="25">
        <f t="shared" ref="R12:AA12" si="9">SUM(R7:R11)</f>
        <v>4372.8900000000003</v>
      </c>
      <c r="S12" s="25">
        <f t="shared" si="9"/>
        <v>25</v>
      </c>
      <c r="T12" s="25">
        <f>SUM(T7:T11)</f>
        <v>4397.8900000000003</v>
      </c>
      <c r="U12" s="25">
        <f>SUM(U7:U11)</f>
        <v>1304397.8899999999</v>
      </c>
      <c r="V12" s="25">
        <f t="shared" si="9"/>
        <v>0</v>
      </c>
      <c r="W12" s="25">
        <f t="shared" si="9"/>
        <v>0</v>
      </c>
      <c r="X12" s="25">
        <f t="shared" si="9"/>
        <v>0</v>
      </c>
      <c r="Y12" s="25">
        <f t="shared" si="9"/>
        <v>0</v>
      </c>
      <c r="Z12" s="25">
        <f t="shared" si="9"/>
        <v>0</v>
      </c>
      <c r="AA12" s="25">
        <f t="shared" si="9"/>
        <v>0</v>
      </c>
      <c r="AB12" s="25">
        <f>U12-AA12</f>
        <v>1304397.8899999999</v>
      </c>
      <c r="AC12" s="25">
        <f t="shared" ca="1" si="6"/>
        <v>869.59859333333327</v>
      </c>
      <c r="AD12" s="25">
        <f>SUM(AD7:AD11)</f>
        <v>0</v>
      </c>
    </row>
    <row r="15" spans="1:30" x14ac:dyDescent="0.25">
      <c r="A15" t="s">
        <v>882</v>
      </c>
      <c r="R15" s="120" t="s">
        <v>20</v>
      </c>
      <c r="S15" s="121"/>
      <c r="T15" s="121"/>
      <c r="U15" s="50"/>
      <c r="V15" s="120" t="s">
        <v>67</v>
      </c>
      <c r="W15" s="121"/>
      <c r="X15" s="121"/>
      <c r="Y15" s="123" t="s">
        <v>13</v>
      </c>
      <c r="Z15" s="124" t="s">
        <v>10</v>
      </c>
      <c r="AA15" s="125" t="s">
        <v>66</v>
      </c>
      <c r="AB15" s="123" t="s">
        <v>15</v>
      </c>
      <c r="AC15" s="123" t="s">
        <v>18</v>
      </c>
      <c r="AD15" s="123" t="s">
        <v>12</v>
      </c>
    </row>
    <row r="16" spans="1:30" ht="75" x14ac:dyDescent="0.25">
      <c r="A16" s="1" t="s">
        <v>57</v>
      </c>
      <c r="B16" s="2" t="s">
        <v>0</v>
      </c>
      <c r="C16" s="2" t="s">
        <v>53</v>
      </c>
      <c r="D16" s="2" t="s">
        <v>1</v>
      </c>
      <c r="E16" s="2" t="s">
        <v>2</v>
      </c>
      <c r="F16" s="2" t="s">
        <v>3</v>
      </c>
      <c r="G16" s="2" t="s">
        <v>4</v>
      </c>
      <c r="H16" s="2" t="s">
        <v>51</v>
      </c>
      <c r="I16" s="2" t="s">
        <v>6</v>
      </c>
      <c r="J16" s="16" t="s">
        <v>7</v>
      </c>
      <c r="K16" s="16" t="s">
        <v>8</v>
      </c>
      <c r="L16" s="2" t="s">
        <v>50</v>
      </c>
      <c r="M16" s="2" t="s">
        <v>14</v>
      </c>
      <c r="N16" s="2" t="s">
        <v>16</v>
      </c>
      <c r="O16" s="4" t="s">
        <v>17</v>
      </c>
      <c r="P16" s="3" t="s">
        <v>11</v>
      </c>
      <c r="R16" s="2" t="s">
        <v>65</v>
      </c>
      <c r="S16" s="2" t="s">
        <v>62</v>
      </c>
      <c r="T16" s="2" t="s">
        <v>5</v>
      </c>
      <c r="U16" s="2" t="s">
        <v>164</v>
      </c>
      <c r="V16" s="16" t="s">
        <v>64</v>
      </c>
      <c r="W16" s="16" t="s">
        <v>62</v>
      </c>
      <c r="X16" s="45" t="s">
        <v>9</v>
      </c>
      <c r="Y16" s="123"/>
      <c r="Z16" s="124"/>
      <c r="AA16" s="125"/>
      <c r="AB16" s="123"/>
      <c r="AC16" s="123"/>
      <c r="AD16" s="123"/>
    </row>
    <row r="17" spans="1:30" x14ac:dyDescent="0.25">
      <c r="A17" s="96">
        <v>1</v>
      </c>
      <c r="B17" s="97" t="s">
        <v>128</v>
      </c>
      <c r="C17" s="97"/>
      <c r="D17" s="98">
        <v>45886</v>
      </c>
      <c r="E17" s="99" t="s">
        <v>19</v>
      </c>
      <c r="F17" s="59">
        <v>1500</v>
      </c>
      <c r="G17" s="59">
        <v>866.66666666666663</v>
      </c>
      <c r="H17" s="59">
        <v>1300000</v>
      </c>
      <c r="I17" s="59"/>
      <c r="J17" s="59"/>
      <c r="K17" s="59"/>
      <c r="L17" s="59"/>
      <c r="M17" s="59">
        <v>1300000</v>
      </c>
      <c r="N17" s="59">
        <v>1500</v>
      </c>
      <c r="O17" s="59">
        <v>866.66666666666663</v>
      </c>
      <c r="P17" s="59"/>
      <c r="Q17" s="59"/>
      <c r="R17" s="59">
        <v>4372.8900000000003</v>
      </c>
      <c r="S17" s="59">
        <v>25</v>
      </c>
      <c r="T17" s="59">
        <v>4397.8900000000003</v>
      </c>
      <c r="U17" s="59">
        <v>1304397.8899999999</v>
      </c>
      <c r="V17" s="59"/>
      <c r="W17" s="59"/>
      <c r="X17" s="59"/>
      <c r="Y17" s="59"/>
      <c r="Z17" s="59"/>
      <c r="AA17" s="59"/>
      <c r="AB17" s="59">
        <v>1304397.8899999999</v>
      </c>
      <c r="AC17" s="59">
        <v>869.59859333333327</v>
      </c>
      <c r="AD17" s="59"/>
    </row>
  </sheetData>
  <mergeCells count="16">
    <mergeCell ref="AB15:AB16"/>
    <mergeCell ref="AC15:AC16"/>
    <mergeCell ref="AD15:AD16"/>
    <mergeCell ref="R15:T15"/>
    <mergeCell ref="V15:X15"/>
    <mergeCell ref="Y15:Y16"/>
    <mergeCell ref="Z15:Z16"/>
    <mergeCell ref="AA15:AA16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96D871-349E-42B7-9AA3-66005957F4BA}">
          <x14:formula1>
            <xm:f>VALIDATION!$A$2:$A$7</xm:f>
          </x14:formula1>
          <xm:sqref>E7:E11 E17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09F6-B809-44AB-A3D7-DE276153C849}">
  <dimension ref="A1:AD6"/>
  <sheetViews>
    <sheetView workbookViewId="0">
      <selection activeCell="B6" sqref="B6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772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772</v>
      </c>
      <c r="C4" s="6" t="s">
        <v>907</v>
      </c>
      <c r="D4" s="7">
        <v>45900</v>
      </c>
      <c r="E4" s="8" t="s">
        <v>20</v>
      </c>
      <c r="F4" s="9">
        <v>210</v>
      </c>
      <c r="G4" s="9">
        <f>H4/F4</f>
        <v>507.8</v>
      </c>
      <c r="H4" s="9">
        <v>106638</v>
      </c>
      <c r="I4" s="9">
        <v>0</v>
      </c>
      <c r="J4" s="9">
        <v>0</v>
      </c>
      <c r="K4" s="9">
        <v>0</v>
      </c>
      <c r="L4" s="9">
        <v>0</v>
      </c>
      <c r="M4" s="9">
        <f>M3+H4-L4</f>
        <v>106638</v>
      </c>
      <c r="N4" s="9">
        <f>N3+F4-I4</f>
        <v>210</v>
      </c>
      <c r="O4" s="42">
        <f>IFERROR(M4/N4,0)</f>
        <v>507.8</v>
      </c>
      <c r="P4" s="10">
        <v>0</v>
      </c>
      <c r="R4" s="17">
        <f>368.66+15.99</f>
        <v>384.65000000000003</v>
      </c>
      <c r="S4" s="17">
        <v>25</v>
      </c>
      <c r="T4" s="20">
        <f>R4+S4</f>
        <v>409.65000000000003</v>
      </c>
      <c r="U4" s="20">
        <f>H4+T4</f>
        <v>107047.65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I4*AC2</f>
        <v>0</v>
      </c>
      <c r="AB4" s="20">
        <f>AB3+U4-AA4</f>
        <v>107047.65</v>
      </c>
      <c r="AC4" s="20">
        <f>IFERROR(AB4/N4,0)</f>
        <v>509.75071428571425</v>
      </c>
      <c r="AD4" s="56">
        <f>Z4-AA4+Y4</f>
        <v>0</v>
      </c>
    </row>
    <row r="5" spans="1:30" ht="30" x14ac:dyDescent="0.25">
      <c r="A5" s="5">
        <v>3</v>
      </c>
      <c r="B5" s="6" t="s">
        <v>908</v>
      </c>
      <c r="C5" s="6" t="s">
        <v>904</v>
      </c>
      <c r="D5" s="7">
        <v>45902</v>
      </c>
      <c r="E5" s="8" t="s">
        <v>20</v>
      </c>
      <c r="F5" s="9">
        <v>200</v>
      </c>
      <c r="G5" s="9">
        <f>H5/F5</f>
        <v>465</v>
      </c>
      <c r="H5" s="9">
        <v>93000</v>
      </c>
      <c r="I5" s="9">
        <v>0</v>
      </c>
      <c r="J5" s="9">
        <v>0</v>
      </c>
      <c r="K5" s="9">
        <v>0</v>
      </c>
      <c r="L5" s="9">
        <v>0</v>
      </c>
      <c r="M5" s="9">
        <f>M4+H5-L5</f>
        <v>199638</v>
      </c>
      <c r="N5" s="9">
        <f>N4+F5-I5</f>
        <v>410</v>
      </c>
      <c r="O5" s="42">
        <f>IFERROR(M5/N5,0)</f>
        <v>486.92195121951221</v>
      </c>
      <c r="P5" s="10">
        <v>0</v>
      </c>
      <c r="R5" s="17">
        <f>306.9+13.95</f>
        <v>320.84999999999997</v>
      </c>
      <c r="S5" s="17">
        <v>25</v>
      </c>
      <c r="T5" s="20">
        <f>R5+S5</f>
        <v>345.84999999999997</v>
      </c>
      <c r="U5" s="20">
        <f>H5+T5</f>
        <v>93345.85</v>
      </c>
      <c r="V5" s="20">
        <v>0</v>
      </c>
      <c r="W5" s="20">
        <v>0</v>
      </c>
      <c r="X5" s="55">
        <f>V5+W5</f>
        <v>0</v>
      </c>
      <c r="Y5" s="20">
        <v>0</v>
      </c>
      <c r="Z5" s="20">
        <f>K5-X5-Y5</f>
        <v>0</v>
      </c>
      <c r="AA5" s="20">
        <f>I5*AC3</f>
        <v>0</v>
      </c>
      <c r="AB5" s="20">
        <f>AB4+U5-AA5</f>
        <v>200393.5</v>
      </c>
      <c r="AC5" s="20">
        <f>IFERROR(AB5/N5,0)</f>
        <v>488.76463414634145</v>
      </c>
      <c r="AD5" s="56">
        <f>Z5-AA5+Y5</f>
        <v>0</v>
      </c>
    </row>
    <row r="6" spans="1:30" ht="30" x14ac:dyDescent="0.25">
      <c r="A6" s="5">
        <v>4</v>
      </c>
      <c r="B6" s="6" t="s">
        <v>772</v>
      </c>
      <c r="C6" s="6" t="s">
        <v>903</v>
      </c>
      <c r="D6" s="7">
        <v>45904</v>
      </c>
      <c r="E6" s="8" t="s">
        <v>20</v>
      </c>
      <c r="F6" s="9">
        <v>500</v>
      </c>
      <c r="G6" s="9">
        <f>H6/F6</f>
        <v>457</v>
      </c>
      <c r="H6" s="9">
        <v>228500</v>
      </c>
      <c r="I6" s="9">
        <v>0</v>
      </c>
      <c r="J6" s="9">
        <v>0</v>
      </c>
      <c r="K6" s="9">
        <v>0</v>
      </c>
      <c r="L6" s="9">
        <v>0</v>
      </c>
      <c r="M6" s="9">
        <f>M5+H6-L6</f>
        <v>428138</v>
      </c>
      <c r="N6" s="9">
        <f>N5+F6-I6</f>
        <v>910</v>
      </c>
      <c r="O6" s="42">
        <f>IFERROR(M6/N6,0)</f>
        <v>470.48131868131867</v>
      </c>
      <c r="P6" s="10">
        <v>0</v>
      </c>
      <c r="R6" s="17">
        <f>754.05+34.28</f>
        <v>788.32999999999993</v>
      </c>
      <c r="S6" s="17">
        <v>25</v>
      </c>
      <c r="T6" s="20">
        <f>R6+S6</f>
        <v>813.32999999999993</v>
      </c>
      <c r="U6" s="20">
        <f>H6+T6</f>
        <v>229313.33</v>
      </c>
      <c r="V6" s="20">
        <v>0</v>
      </c>
      <c r="W6" s="20">
        <v>0</v>
      </c>
      <c r="X6" s="55">
        <f>V6+W6</f>
        <v>0</v>
      </c>
      <c r="Y6" s="20">
        <v>0</v>
      </c>
      <c r="Z6" s="20">
        <f>K6-X6-Y6</f>
        <v>0</v>
      </c>
      <c r="AA6" s="20">
        <f>I6*AC3</f>
        <v>0</v>
      </c>
      <c r="AB6" s="20">
        <f>AB5+U6-AA6</f>
        <v>429706.82999999996</v>
      </c>
      <c r="AC6" s="20">
        <f>IFERROR(AB6/N6,0)</f>
        <v>472.20530769230766</v>
      </c>
      <c r="AD6" s="56">
        <f>Z6-AA6+Y6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563E84-350C-4381-8C43-CE3E9A945CE2}">
          <x14:formula1>
            <xm:f>VALIDATION!$A$2:$A$7</xm:f>
          </x14:formula1>
          <xm:sqref>E3:E6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9196-B244-48D0-AB33-6689D852C1EF}">
  <dimension ref="A1:AD5"/>
  <sheetViews>
    <sheetView topLeftCell="H1" workbookViewId="0">
      <selection activeCell="H5" sqref="H5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832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832</v>
      </c>
      <c r="C4" s="6" t="s">
        <v>904</v>
      </c>
      <c r="D4" s="7">
        <v>45902</v>
      </c>
      <c r="E4" s="8" t="s">
        <v>20</v>
      </c>
      <c r="F4" s="9">
        <v>200</v>
      </c>
      <c r="G4" s="9">
        <f>H4/F4</f>
        <v>465</v>
      </c>
      <c r="H4" s="9">
        <v>93000</v>
      </c>
      <c r="I4" s="9">
        <v>0</v>
      </c>
      <c r="J4" s="9">
        <v>0</v>
      </c>
      <c r="K4" s="9">
        <v>0</v>
      </c>
      <c r="L4" s="9">
        <v>0</v>
      </c>
      <c r="M4" s="9">
        <f>M3+H4-L4</f>
        <v>93000</v>
      </c>
      <c r="N4" s="9">
        <f>N3+F4-I4</f>
        <v>200</v>
      </c>
      <c r="O4" s="42">
        <f>IFERROR(M4/N4,0)</f>
        <v>465</v>
      </c>
      <c r="P4" s="10">
        <v>0</v>
      </c>
      <c r="R4" s="17">
        <f>306.9+13.95</f>
        <v>320.84999999999997</v>
      </c>
      <c r="S4" s="17">
        <v>25</v>
      </c>
      <c r="T4" s="20">
        <f>R4+S4</f>
        <v>345.84999999999997</v>
      </c>
      <c r="U4" s="20">
        <f>H4+T4</f>
        <v>93345.85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93345.85</v>
      </c>
      <c r="AC4" s="20">
        <f>IFERROR(AB4/N4,0)</f>
        <v>466.72925000000004</v>
      </c>
      <c r="AD4" s="56">
        <f>Z4-AA4+Y4</f>
        <v>0</v>
      </c>
    </row>
    <row r="5" spans="1:30" ht="30" x14ac:dyDescent="0.25">
      <c r="A5" s="5">
        <v>3</v>
      </c>
      <c r="B5" s="6" t="s">
        <v>832</v>
      </c>
      <c r="C5" s="6" t="s">
        <v>903</v>
      </c>
      <c r="D5" s="7">
        <v>45904</v>
      </c>
      <c r="E5" s="8" t="s">
        <v>20</v>
      </c>
      <c r="F5" s="9">
        <v>500</v>
      </c>
      <c r="G5" s="9">
        <f>H5/F5</f>
        <v>457</v>
      </c>
      <c r="H5" s="9">
        <v>228500</v>
      </c>
      <c r="I5" s="9">
        <v>0</v>
      </c>
      <c r="J5" s="9">
        <v>0</v>
      </c>
      <c r="K5" s="9">
        <v>0</v>
      </c>
      <c r="L5" s="9">
        <v>0</v>
      </c>
      <c r="M5" s="9">
        <f>M4+H5-L5</f>
        <v>321500</v>
      </c>
      <c r="N5" s="9">
        <f>N3+F5-I5</f>
        <v>500</v>
      </c>
      <c r="O5" s="42">
        <f>IFERROR(M5/N5,0)</f>
        <v>643</v>
      </c>
      <c r="P5" s="10">
        <v>0</v>
      </c>
      <c r="R5" s="17">
        <f>754.05+34.28</f>
        <v>788.32999999999993</v>
      </c>
      <c r="S5" s="17">
        <v>25</v>
      </c>
      <c r="T5" s="20">
        <f>R5+S5</f>
        <v>813.32999999999993</v>
      </c>
      <c r="U5" s="20">
        <f>H5+T5</f>
        <v>229313.33</v>
      </c>
      <c r="V5" s="20">
        <v>0</v>
      </c>
      <c r="W5" s="20">
        <v>0</v>
      </c>
      <c r="X5" s="55">
        <f>V5+W5</f>
        <v>0</v>
      </c>
      <c r="Y5" s="20">
        <v>0</v>
      </c>
      <c r="Z5" s="20">
        <f>K5-X5-Y5</f>
        <v>0</v>
      </c>
      <c r="AA5" s="20">
        <f>I5*AC3</f>
        <v>0</v>
      </c>
      <c r="AB5" s="20">
        <f>AB4+U5-AA5</f>
        <v>322659.18</v>
      </c>
      <c r="AC5" s="20">
        <f>IFERROR(AB5/N5,0)</f>
        <v>645.31835999999998</v>
      </c>
      <c r="AD5" s="56">
        <f>Z5-AA5+Y5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A61EC68-F51C-42CA-A6B0-F2AF341AABD5}">
          <x14:formula1>
            <xm:f>VALIDATION!$A$2:$A$7</xm:f>
          </x14:formula1>
          <xm:sqref>E3:E5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65C6-F828-41A9-BF5D-89D7F948240C}">
  <dimension ref="A1:AD4"/>
  <sheetViews>
    <sheetView topLeftCell="K1" workbookViewId="0">
      <selection activeCell="AE4" sqref="AE4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841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841</v>
      </c>
      <c r="C4" s="6" t="s">
        <v>901</v>
      </c>
      <c r="D4" s="7">
        <v>45895</v>
      </c>
      <c r="E4" s="8" t="s">
        <v>20</v>
      </c>
      <c r="F4" s="9">
        <v>230</v>
      </c>
      <c r="G4" s="9">
        <f>H4/F4</f>
        <v>854.5826086956522</v>
      </c>
      <c r="H4" s="9">
        <v>196554</v>
      </c>
      <c r="I4" s="9">
        <v>0</v>
      </c>
      <c r="J4" s="9">
        <v>0</v>
      </c>
      <c r="K4" s="9">
        <v>0</v>
      </c>
      <c r="L4" s="9">
        <v>0</v>
      </c>
      <c r="M4" s="9">
        <f>M3+H4-L4</f>
        <v>196554</v>
      </c>
      <c r="N4" s="9">
        <f>N3+F4-I4</f>
        <v>230</v>
      </c>
      <c r="O4" s="42">
        <f>IFERROR(M4/N4,0)</f>
        <v>854.5826086956522</v>
      </c>
      <c r="P4" s="10">
        <v>0</v>
      </c>
      <c r="R4" s="17">
        <f>656.28+29.5</f>
        <v>685.78</v>
      </c>
      <c r="S4" s="17">
        <v>25</v>
      </c>
      <c r="T4" s="20">
        <f>R4+S4</f>
        <v>710.78</v>
      </c>
      <c r="U4" s="20">
        <f>H4+T4</f>
        <v>197264.78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197264.78</v>
      </c>
      <c r="AC4" s="20">
        <f>IFERROR(AB4/N4,0)</f>
        <v>857.67295652173914</v>
      </c>
      <c r="AD4" s="56">
        <f>Z4-AA4+Y4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AECDC3-8659-458F-8C34-86B5AF14E274}">
          <x14:formula1>
            <xm:f>VALIDATION!$A$2:$A$7</xm:f>
          </x14:formula1>
          <xm:sqref>E3:E4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FD-DD33-4CE6-9E07-E0D883E77E2A}">
  <dimension ref="A1:AD18"/>
  <sheetViews>
    <sheetView workbookViewId="0">
      <selection activeCell="D9" sqref="D9"/>
    </sheetView>
  </sheetViews>
  <sheetFormatPr defaultRowHeight="15" x14ac:dyDescent="0.25"/>
  <cols>
    <col min="2" max="2" width="8.140625" bestFit="1" customWidth="1"/>
    <col min="3" max="3" width="16.85546875" customWidth="1"/>
    <col min="4" max="4" width="10.28515625" bestFit="1" customWidth="1"/>
    <col min="6" max="6" width="11.42578125" bestFit="1" customWidth="1"/>
    <col min="7" max="7" width="10.85546875" bestFit="1" customWidth="1"/>
    <col min="8" max="8" width="15.5703125" bestFit="1" customWidth="1"/>
    <col min="9" max="10" width="10.85546875" bestFit="1" customWidth="1"/>
    <col min="11" max="11" width="15.140625" bestFit="1" customWidth="1"/>
    <col min="12" max="12" width="13.5703125" bestFit="1" customWidth="1"/>
    <col min="13" max="13" width="15.140625" bestFit="1" customWidth="1"/>
    <col min="14" max="14" width="14.5703125" bestFit="1" customWidth="1"/>
    <col min="15" max="15" width="11.42578125" bestFit="1" customWidth="1"/>
    <col min="16" max="16" width="15.140625" bestFit="1" customWidth="1"/>
    <col min="17" max="17" width="13.85546875" bestFit="1" customWidth="1"/>
    <col min="18" max="18" width="15.5703125" bestFit="1" customWidth="1"/>
    <col min="20" max="20" width="11.42578125" bestFit="1" customWidth="1"/>
    <col min="21" max="21" width="15.5703125" bestFit="1" customWidth="1"/>
    <col min="28" max="28" width="15.5703125" bestFit="1" customWidth="1"/>
    <col min="29" max="29" width="11.4257812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57.95" customHeight="1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x14ac:dyDescent="0.25">
      <c r="A7" s="5">
        <v>1</v>
      </c>
      <c r="B7" s="6" t="s">
        <v>126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Table2428302829[[#This Row],[PPPU]]*Table2428302829[[#This Row],[Purchase QTY]]</f>
        <v>0</v>
      </c>
      <c r="I7" s="9"/>
      <c r="J7" s="9"/>
      <c r="K7" s="9">
        <f>Table2428302829[[#This Row],[Sales Qty]]*Table2428302829[[#This Row],[SPPU]]</f>
        <v>0</v>
      </c>
      <c r="L7" s="9"/>
      <c r="M7" s="9">
        <f>Table2428302829[[#This Row],[Total Purchase Amount]]</f>
        <v>0</v>
      </c>
      <c r="N7" s="9">
        <f>IF(Table2428302829[[#This Row],[Txn Type]]="opening",Table2428302829[[#This Row],[Purchase QTY]],"Error")</f>
        <v>0</v>
      </c>
      <c r="O7" s="42">
        <f>IFERROR(Table2428302829[[#This Row],[TC AP NFRS]]/Table2428302829[[#This Row],[Unit Sum]],0)</f>
        <v>0</v>
      </c>
      <c r="P7" s="10">
        <f>Table2428302829[[#This Row],[Sales Amt]]-Table2428302829[[#This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0" ht="30" x14ac:dyDescent="0.25">
      <c r="A8" s="5">
        <v>2</v>
      </c>
      <c r="B8" s="6" t="s">
        <v>126</v>
      </c>
      <c r="C8" s="6" t="s">
        <v>127</v>
      </c>
      <c r="D8" s="7">
        <v>45865</v>
      </c>
      <c r="E8" s="8" t="s">
        <v>55</v>
      </c>
      <c r="F8" s="9">
        <v>1000</v>
      </c>
      <c r="G8" s="9">
        <f>IF(Table2428302829[[#This Row],[SPPU]]&gt;0,0,Table2428302829[[#This Row],[Total Purchase Amount]]/Table2428302829[[#This Row],[Purchase QTY]])</f>
        <v>1138.5</v>
      </c>
      <c r="H8" s="9">
        <v>1138500</v>
      </c>
      <c r="I8" s="9">
        <v>0</v>
      </c>
      <c r="J8" s="9">
        <v>0</v>
      </c>
      <c r="K8" s="9">
        <v>0</v>
      </c>
      <c r="L8" s="9">
        <f>Table2428302829[[#This Row],[Sales Qty]]*O7</f>
        <v>0</v>
      </c>
      <c r="M8" s="9">
        <f>M7+Table2428302829[[#This Row],[Total Purchase Amount]]-Table2428302829[[#This Row],[Principal Cost As per  NFRS (In case of Sales)]]</f>
        <v>1138500</v>
      </c>
      <c r="N8" s="9">
        <f>N7+Table2428302829[[#This Row],[Purchase QTY]]-Table2428302829[[#This Row],[Sales Qty]]</f>
        <v>1000</v>
      </c>
      <c r="O8" s="42">
        <f>IFERROR(Table2428302829[[#This Row],[TC AP NFRS]]/Table2428302829[[#This Row],[Unit Sum]],0)</f>
        <v>1138.5</v>
      </c>
      <c r="P8" s="10">
        <f>Table2428302829[[#This Row],[Sales Amt]]-Table2428302829[[#This Row],[Principal Cost As per  NFRS (In case of Sales)]]</f>
        <v>0</v>
      </c>
      <c r="R8" s="17">
        <f>170.78+3669.2</f>
        <v>3839.98</v>
      </c>
      <c r="S8" s="17">
        <v>25</v>
      </c>
      <c r="T8" s="20">
        <f>R8+S8</f>
        <v>3864.98</v>
      </c>
      <c r="U8" s="20">
        <f>H8+T8</f>
        <v>1142364.98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1142364.98</v>
      </c>
      <c r="AC8" s="20">
        <f>IFERROR(AB8/N8,0)</f>
        <v>1142.3649800000001</v>
      </c>
      <c r="AD8" s="56">
        <f>Z8-AA8+Y8</f>
        <v>0</v>
      </c>
    </row>
    <row r="9" spans="1:30" x14ac:dyDescent="0.25">
      <c r="A9" s="5">
        <f>A8+1</f>
        <v>3</v>
      </c>
      <c r="B9" s="6"/>
      <c r="C9" s="6"/>
      <c r="D9" s="7"/>
      <c r="E9" s="8"/>
      <c r="F9" s="9"/>
      <c r="G9" s="9" t="e">
        <f>Table2428302829[[#This Row],[Total Purchase Amount]]/Table2428302829[[#This Row],[Purchase QTY]]</f>
        <v>#DIV/0!</v>
      </c>
      <c r="H9" s="9"/>
      <c r="I9" s="9">
        <v>0</v>
      </c>
      <c r="J9" s="9"/>
      <c r="K9" s="9">
        <f>Table2428302829[[#This Row],[Sales Qty]]*Table2428302829[[#This Row],[SPPU]]</f>
        <v>0</v>
      </c>
      <c r="L9" s="9">
        <f>Table2428302829[[#This Row],[Sales Qty]]*O8</f>
        <v>0</v>
      </c>
      <c r="M9" s="9">
        <f>M8+Table2428302829[[#This Row],[Total Purchase Amount]]-Table2428302829[[#This Row],[Principal Cost As per  NFRS (In case of Sales)]]</f>
        <v>1138500</v>
      </c>
      <c r="N9" s="9">
        <f>N8+Table2428302829[[#This Row],[Purchase QTY]]-Table2428302829[[#This Row],[Sales Qty]]</f>
        <v>1000</v>
      </c>
      <c r="O9" s="42">
        <f>Table2428302829[[#This Row],[TC AP NFRS]]/Table2428302829[[#This Row],[Unit Sum]]</f>
        <v>1138.5</v>
      </c>
      <c r="P9" s="10"/>
      <c r="R9" s="17">
        <v>0</v>
      </c>
      <c r="S9" s="17"/>
      <c r="T9" s="20">
        <f t="shared" ref="T9:T11" si="0">R9+S9</f>
        <v>0</v>
      </c>
      <c r="U9" s="20">
        <f t="shared" ref="U9:U11" si="1">H9+T9</f>
        <v>0</v>
      </c>
      <c r="V9" s="20">
        <v>0</v>
      </c>
      <c r="W9" s="20">
        <v>0</v>
      </c>
      <c r="X9" s="55">
        <f t="shared" ref="X9:X11" si="2">V9+W9</f>
        <v>0</v>
      </c>
      <c r="Y9" s="20">
        <v>0</v>
      </c>
      <c r="Z9" s="20">
        <f t="shared" ref="Z9:Z11" si="3">K9-X9-Y9</f>
        <v>0</v>
      </c>
      <c r="AA9" s="20">
        <f t="shared" ref="AA9:AA11" si="4">I9*AC8</f>
        <v>0</v>
      </c>
      <c r="AB9" s="20">
        <f t="shared" ref="AB9:AB11" si="5">AB8+U9-AA9</f>
        <v>1142364.98</v>
      </c>
      <c r="AC9" s="20">
        <f t="shared" ref="AC9:AC12" si="6">IFERROR(AB9/N9,0)</f>
        <v>1142.3649800000001</v>
      </c>
      <c r="AD9" s="56">
        <f t="shared" ref="AD9:AD11" si="7">Z9-AA9+Y9</f>
        <v>0</v>
      </c>
    </row>
    <row r="10" spans="1:30" x14ac:dyDescent="0.25">
      <c r="A10" s="5">
        <f>A9+1</f>
        <v>4</v>
      </c>
      <c r="B10" s="6"/>
      <c r="C10" s="6"/>
      <c r="D10" s="7"/>
      <c r="E10" s="8"/>
      <c r="F10" s="9"/>
      <c r="G10" s="9" t="e">
        <f>IF(Table2428302829[[#This Row],[SPPU]]&gt;0,0,Table2428302829[[#This Row],[Total Purchase Amount]]/Table2428302829[[#This Row],[Purchase QTY]])</f>
        <v>#DIV/0!</v>
      </c>
      <c r="H10" s="9"/>
      <c r="I10" s="9">
        <v>0</v>
      </c>
      <c r="J10" s="9"/>
      <c r="K10" s="9">
        <f>Table2428302829[[#This Row],[Sales Qty]]*Table2428302829[[#This Row],[SPPU]]</f>
        <v>0</v>
      </c>
      <c r="L10" s="9">
        <f>Table2428302829[[#This Row],[Sales Qty]]*O9</f>
        <v>0</v>
      </c>
      <c r="M10" s="9">
        <f>M9+Table2428302829[[#This Row],[Total Purchase Amount]]-Table2428302829[[#This Row],[Principal Cost As per  NFRS (In case of Sales)]]</f>
        <v>1138500</v>
      </c>
      <c r="N10" s="9">
        <f>N9+Table2428302829[[#This Row],[Purchase QTY]]-Table2428302829[[#This Row],[Sales Qty]]</f>
        <v>1000</v>
      </c>
      <c r="O10" s="42">
        <f>IFERROR(Table2428302829[[#This Row],[TC AP NFRS]]/Table2428302829[[#This Row],[Unit Sum]],0)</f>
        <v>1138.5</v>
      </c>
      <c r="P10" s="10">
        <f>Table2428302829[[#This Row],[Sales Amt]]-Table2428302829[[#This Row],[Principal Cost As per  NFRS (In case of Sales)]]</f>
        <v>0</v>
      </c>
      <c r="R10" s="17">
        <v>0</v>
      </c>
      <c r="S10" s="17"/>
      <c r="T10" s="20">
        <f t="shared" si="0"/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1142364.98</v>
      </c>
      <c r="AC10" s="20">
        <f t="shared" si="6"/>
        <v>1142.3649800000001</v>
      </c>
      <c r="AD10" s="56">
        <f t="shared" si="7"/>
        <v>0</v>
      </c>
    </row>
    <row r="11" spans="1:30" x14ac:dyDescent="0.25">
      <c r="A11" s="5">
        <f t="shared" ref="A11" si="8">A10+1</f>
        <v>5</v>
      </c>
      <c r="B11" s="6"/>
      <c r="C11" s="6"/>
      <c r="D11" s="7"/>
      <c r="E11" s="8"/>
      <c r="F11" s="9"/>
      <c r="G11" s="9" t="e">
        <f>Table2428302829[[#This Row],[Total Purchase Amount]]/Table2428302829[[#This Row],[Purchase QTY]]</f>
        <v>#DIV/0!</v>
      </c>
      <c r="H11" s="9"/>
      <c r="I11" s="9"/>
      <c r="J11" s="9"/>
      <c r="K11" s="9">
        <f>Table2428302829[[#This Row],[Sales Qty]]*Table2428302829[[#This Row],[SPPU]]</f>
        <v>0</v>
      </c>
      <c r="L11" s="9"/>
      <c r="M11" s="9">
        <f>M10+Table2428302829[[#This Row],[Total Purchase Amount]]-Table2428302829[[#This Row],[Principal Cost As per  NFRS (In case of Sales)]]</f>
        <v>1138500</v>
      </c>
      <c r="N11" s="9">
        <f>N10+Table2428302829[[#This Row],[Purchase QTY]]-Table2428302829[[#This Row],[Sales Qty]]</f>
        <v>1000</v>
      </c>
      <c r="O11" s="42">
        <f>Table2428302829[[#This Row],[TC AP NFRS]]/Table2428302829[[#This Row],[Unit Sum]]</f>
        <v>1138.5</v>
      </c>
      <c r="P11" s="10"/>
      <c r="R11" s="17">
        <v>0</v>
      </c>
      <c r="S11" s="17"/>
      <c r="T11" s="20">
        <f t="shared" si="0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1142364.98</v>
      </c>
      <c r="AC11" s="20">
        <f t="shared" si="6"/>
        <v>1142.3649800000001</v>
      </c>
      <c r="AD11" s="56">
        <f t="shared" si="7"/>
        <v>0</v>
      </c>
    </row>
    <row r="12" spans="1:30" ht="15.75" x14ac:dyDescent="0.25">
      <c r="A12" s="11" t="s">
        <v>22</v>
      </c>
      <c r="B12" s="12"/>
      <c r="C12" s="12"/>
      <c r="D12" s="13"/>
      <c r="E12" s="14"/>
      <c r="F12" s="15">
        <f ca="1">SUM(INDIRECT("f4:f"&amp;ROW()-1))</f>
        <v>1000</v>
      </c>
      <c r="G12" s="15">
        <f ca="1">Table2428302829[[#This Row],[Total Purchase Amount]]/Table2428302829[[#This Row],[Purchase QTY]]</f>
        <v>1138.5</v>
      </c>
      <c r="H12" s="15">
        <f ca="1">SUM(INDIRECT("h4:h"&amp;ROW()-1))</f>
        <v>1138500</v>
      </c>
      <c r="I12" s="15">
        <f ca="1">SUM(INDIRECT("i4:i"&amp;ROW()-1))</f>
        <v>0</v>
      </c>
      <c r="J12" s="15" t="e">
        <f ca="1">Table2428302829[[#This Row],[Sales Amt]]/Table2428302829[[#This Row],[Sales Qty]]</f>
        <v>#DIV/0!</v>
      </c>
      <c r="K12" s="15">
        <f ca="1">SUM(INDIRECT("k4:k"&amp;ROW()-1))</f>
        <v>0</v>
      </c>
      <c r="L12" s="15"/>
      <c r="M12" s="15">
        <f ca="1">Table2428302829[[#This Row],[Total Purchase Amount]]-Table2428302829[[#This Row],[Principal Cost As per  NFRS (In case of Sales)]]</f>
        <v>1138500</v>
      </c>
      <c r="N12" s="15">
        <f ca="1">Table2428302829[[#This Row],[Purchase QTY]]-Table2428302829[[#This Row],[Sales Qty]]</f>
        <v>1000</v>
      </c>
      <c r="O12" s="43">
        <f ca="1">Table2428302829[[#This Row],[TC AP NFRS]]/Table2428302829[[#This Row],[Unit Sum]]</f>
        <v>1138.5</v>
      </c>
      <c r="P12" s="15">
        <f>SUM(P7:P8)</f>
        <v>0</v>
      </c>
      <c r="R12" s="24">
        <f>SUM(R7:R11)</f>
        <v>3839.98</v>
      </c>
      <c r="S12" s="24">
        <f t="shared" ref="S12:AD12" si="9">SUM(S7:S11)</f>
        <v>25</v>
      </c>
      <c r="T12" s="24">
        <f>SUM(T7:T11)</f>
        <v>3864.98</v>
      </c>
      <c r="U12" s="24">
        <f>SUM(U7:U11)</f>
        <v>1142364.98</v>
      </c>
      <c r="V12" s="24">
        <f t="shared" si="9"/>
        <v>0</v>
      </c>
      <c r="W12" s="24">
        <f t="shared" si="9"/>
        <v>0</v>
      </c>
      <c r="X12" s="24">
        <f t="shared" si="9"/>
        <v>0</v>
      </c>
      <c r="Y12" s="24">
        <f t="shared" si="9"/>
        <v>0</v>
      </c>
      <c r="Z12" s="24">
        <f t="shared" si="9"/>
        <v>0</v>
      </c>
      <c r="AA12" s="24">
        <f t="shared" si="9"/>
        <v>0</v>
      </c>
      <c r="AB12" s="24">
        <f>U12-AA12</f>
        <v>1142364.98</v>
      </c>
      <c r="AC12" s="24">
        <f t="shared" ca="1" si="6"/>
        <v>1142.3649800000001</v>
      </c>
      <c r="AD12" s="24">
        <f t="shared" si="9"/>
        <v>0</v>
      </c>
    </row>
    <row r="16" spans="1:30" x14ac:dyDescent="0.25">
      <c r="A16" t="s">
        <v>882</v>
      </c>
      <c r="R16" s="120" t="s">
        <v>20</v>
      </c>
      <c r="S16" s="121"/>
      <c r="T16" s="121"/>
      <c r="U16" s="50"/>
      <c r="V16" s="120" t="s">
        <v>67</v>
      </c>
      <c r="W16" s="121"/>
      <c r="X16" s="121"/>
      <c r="Y16" s="123" t="s">
        <v>13</v>
      </c>
      <c r="Z16" s="124" t="s">
        <v>10</v>
      </c>
      <c r="AA16" s="125" t="s">
        <v>66</v>
      </c>
      <c r="AB16" s="123" t="s">
        <v>15</v>
      </c>
      <c r="AC16" s="123" t="s">
        <v>18</v>
      </c>
      <c r="AD16" s="123" t="s">
        <v>12</v>
      </c>
    </row>
    <row r="17" spans="1:30" ht="75" x14ac:dyDescent="0.25">
      <c r="A17" s="1" t="s">
        <v>57</v>
      </c>
      <c r="B17" s="2" t="s">
        <v>0</v>
      </c>
      <c r="C17" s="2" t="s">
        <v>53</v>
      </c>
      <c r="D17" s="2" t="s">
        <v>1</v>
      </c>
      <c r="E17" s="2" t="s">
        <v>2</v>
      </c>
      <c r="F17" s="2" t="s">
        <v>3</v>
      </c>
      <c r="G17" s="2" t="s">
        <v>4</v>
      </c>
      <c r="H17" s="2" t="s">
        <v>51</v>
      </c>
      <c r="I17" s="2" t="s">
        <v>6</v>
      </c>
      <c r="J17" s="16" t="s">
        <v>7</v>
      </c>
      <c r="K17" s="16" t="s">
        <v>8</v>
      </c>
      <c r="L17" s="2" t="s">
        <v>50</v>
      </c>
      <c r="M17" s="2" t="s">
        <v>14</v>
      </c>
      <c r="N17" s="2" t="s">
        <v>16</v>
      </c>
      <c r="O17" s="4" t="s">
        <v>17</v>
      </c>
      <c r="P17" s="3" t="s">
        <v>11</v>
      </c>
      <c r="R17" s="2" t="s">
        <v>65</v>
      </c>
      <c r="S17" s="2" t="s">
        <v>62</v>
      </c>
      <c r="T17" s="2" t="s">
        <v>5</v>
      </c>
      <c r="U17" s="2" t="s">
        <v>164</v>
      </c>
      <c r="V17" s="16" t="s">
        <v>64</v>
      </c>
      <c r="W17" s="16" t="s">
        <v>62</v>
      </c>
      <c r="X17" s="45" t="s">
        <v>9</v>
      </c>
      <c r="Y17" s="123"/>
      <c r="Z17" s="124"/>
      <c r="AA17" s="125"/>
      <c r="AB17" s="123"/>
      <c r="AC17" s="123"/>
      <c r="AD17" s="123"/>
    </row>
    <row r="18" spans="1:30" x14ac:dyDescent="0.25">
      <c r="A18" s="96">
        <v>1</v>
      </c>
      <c r="B18" s="97" t="s">
        <v>126</v>
      </c>
      <c r="C18" s="97"/>
      <c r="D18" s="98">
        <v>45886</v>
      </c>
      <c r="E18" s="99" t="s">
        <v>19</v>
      </c>
      <c r="F18" s="59">
        <v>1000</v>
      </c>
      <c r="G18" s="59">
        <v>1138.5</v>
      </c>
      <c r="H18" s="59">
        <v>1138500</v>
      </c>
      <c r="I18" s="59"/>
      <c r="J18" s="59"/>
      <c r="K18" s="59"/>
      <c r="L18" s="59"/>
      <c r="M18" s="59">
        <v>1138500</v>
      </c>
      <c r="N18" s="59">
        <v>1000</v>
      </c>
      <c r="O18" s="59">
        <v>1138.5</v>
      </c>
      <c r="P18" s="59">
        <v>0</v>
      </c>
      <c r="Q18" s="59"/>
      <c r="R18" s="59">
        <v>3839.98</v>
      </c>
      <c r="S18" s="59">
        <v>25</v>
      </c>
      <c r="T18" s="59">
        <v>3864.98</v>
      </c>
      <c r="U18" s="59">
        <v>1142364.98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1142364.98</v>
      </c>
      <c r="AC18" s="59">
        <v>1142.3649800000001</v>
      </c>
      <c r="AD18" s="59">
        <v>0</v>
      </c>
    </row>
  </sheetData>
  <mergeCells count="16">
    <mergeCell ref="AB16:AB17"/>
    <mergeCell ref="AC16:AC17"/>
    <mergeCell ref="AD16:AD17"/>
    <mergeCell ref="R16:T16"/>
    <mergeCell ref="V16:X16"/>
    <mergeCell ref="Y16:Y17"/>
    <mergeCell ref="Z16:Z17"/>
    <mergeCell ref="AA16:AA17"/>
    <mergeCell ref="AB5:AB6"/>
    <mergeCell ref="AC5:AC6"/>
    <mergeCell ref="AD5:AD6"/>
    <mergeCell ref="R5:T5"/>
    <mergeCell ref="V5:X5"/>
    <mergeCell ref="Y5:Y6"/>
    <mergeCell ref="Z5:Z6"/>
    <mergeCell ref="AA5:AA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06AF23D-8369-4A11-BF67-377015481EDD}">
          <x14:formula1>
            <xm:f>VALIDATION!$A$2:$A$7</xm:f>
          </x14:formula1>
          <xm:sqref>E7:E11 E18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78AD5-11D8-4AD6-9069-AD0263591779}">
  <dimension ref="A1:AD16"/>
  <sheetViews>
    <sheetView topLeftCell="A4" workbookViewId="0">
      <selection activeCell="AD14" sqref="A14:AD15"/>
    </sheetView>
  </sheetViews>
  <sheetFormatPr defaultRowHeight="15" x14ac:dyDescent="0.25"/>
  <cols>
    <col min="2" max="2" width="8.140625" bestFit="1" customWidth="1"/>
    <col min="3" max="3" width="16.85546875" customWidth="1"/>
    <col min="4" max="4" width="10.28515625" bestFit="1" customWidth="1"/>
    <col min="6" max="6" width="11.42578125" bestFit="1" customWidth="1"/>
    <col min="7" max="7" width="10.85546875" bestFit="1" customWidth="1"/>
    <col min="8" max="8" width="15.5703125" bestFit="1" customWidth="1"/>
    <col min="9" max="10" width="10.85546875" bestFit="1" customWidth="1"/>
    <col min="11" max="11" width="15.140625" bestFit="1" customWidth="1"/>
    <col min="12" max="12" width="13.5703125" bestFit="1" customWidth="1"/>
    <col min="13" max="13" width="15.140625" bestFit="1" customWidth="1"/>
    <col min="14" max="14" width="14.5703125" bestFit="1" customWidth="1"/>
    <col min="15" max="15" width="11.42578125" bestFit="1" customWidth="1"/>
    <col min="16" max="16" width="15.140625" bestFit="1" customWidth="1"/>
    <col min="17" max="17" width="13.85546875" bestFit="1" customWidth="1"/>
    <col min="18" max="18" width="15.5703125" bestFit="1" customWidth="1"/>
    <col min="20" max="20" width="11.42578125" bestFit="1" customWidth="1"/>
    <col min="21" max="21" width="15.5703125" bestFit="1" customWidth="1"/>
    <col min="28" max="28" width="15.5703125" bestFit="1" customWidth="1"/>
    <col min="29" max="29" width="9.570312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x14ac:dyDescent="0.25">
      <c r="A7" s="5">
        <v>1</v>
      </c>
      <c r="B7" s="6" t="s">
        <v>124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Table24283028[[#This Row],[PPPU]]*Table24283028[[#This Row],[Purchase QTY]]</f>
        <v>0</v>
      </c>
      <c r="I7" s="9"/>
      <c r="J7" s="9"/>
      <c r="K7" s="9">
        <f>Table24283028[[#This Row],[Sales Qty]]*Table24283028[[#This Row],[SPPU]]</f>
        <v>0</v>
      </c>
      <c r="L7" s="9"/>
      <c r="M7" s="9">
        <f>Table24283028[[#This Row],[Total Purchase Amount]]</f>
        <v>0</v>
      </c>
      <c r="N7" s="9">
        <f>IF(Table24283028[[#This Row],[Txn Type]]="opening",Table24283028[[#This Row],[Purchase QTY]],"Error")</f>
        <v>0</v>
      </c>
      <c r="O7" s="42">
        <f>IFERROR(Table24283028[[#This Row],[TC AP NFRS]]/Table24283028[[#This Row],[Unit Sum]],0)</f>
        <v>0</v>
      </c>
      <c r="P7" s="10">
        <f>Table24283028[[#This Row],[Sales Amt]]-Table24283028[[#This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0" ht="30" x14ac:dyDescent="0.25">
      <c r="A8" s="5">
        <v>2</v>
      </c>
      <c r="B8" s="6" t="s">
        <v>124</v>
      </c>
      <c r="C8" s="6" t="s">
        <v>125</v>
      </c>
      <c r="D8" s="7">
        <v>45500</v>
      </c>
      <c r="E8" s="8" t="s">
        <v>55</v>
      </c>
      <c r="F8" s="9">
        <v>1000</v>
      </c>
      <c r="G8" s="9">
        <f>IF(Table24283028[[#This Row],[SPPU]]&gt;0,0,Table24283028[[#This Row],[Total Purchase Amount]]/Table24283028[[#This Row],[Purchase QTY]])</f>
        <v>635</v>
      </c>
      <c r="H8" s="9">
        <v>635000</v>
      </c>
      <c r="I8" s="9">
        <v>0</v>
      </c>
      <c r="J8" s="9">
        <v>0</v>
      </c>
      <c r="K8" s="9">
        <v>0</v>
      </c>
      <c r="L8" s="9">
        <f>Table24283028[[#This Row],[Sales Qty]]*O7</f>
        <v>0</v>
      </c>
      <c r="M8" s="9">
        <f>M7+Table24283028[[#This Row],[Total Purchase Amount]]-Table24283028[[#This Row],[Principal Cost As per  NFRS (In case of Sales)]]</f>
        <v>635000</v>
      </c>
      <c r="N8" s="9">
        <f>N7+Table24283028[[#This Row],[Purchase QTY]]-Table24283028[[#This Row],[Sales Qty]]</f>
        <v>1000</v>
      </c>
      <c r="O8" s="42">
        <f>IFERROR(Table24283028[[#This Row],[TC AP NFRS]]/Table24283028[[#This Row],[Unit Sum]],0)</f>
        <v>635</v>
      </c>
      <c r="P8" s="10">
        <f>Table24283028[[#This Row],[Sales Amt]]-Table24283028[[#This Row],[Principal Cost As per  NFRS (In case of Sales)]]</f>
        <v>0</v>
      </c>
      <c r="R8" s="17">
        <f>95.25+2095.5</f>
        <v>2190.75</v>
      </c>
      <c r="S8" s="17">
        <v>25</v>
      </c>
      <c r="T8" s="20">
        <f>R8+S8</f>
        <v>2215.75</v>
      </c>
      <c r="U8" s="20">
        <f>H8+T8</f>
        <v>637215.75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637215.75</v>
      </c>
      <c r="AC8" s="20">
        <f>IFERROR(AB8/N8,0)</f>
        <v>637.21574999999996</v>
      </c>
      <c r="AD8" s="56">
        <f>Z8-AA8+Y8</f>
        <v>0</v>
      </c>
    </row>
    <row r="9" spans="1:30" ht="30" x14ac:dyDescent="0.25">
      <c r="A9" s="5">
        <f>A8+1</f>
        <v>3</v>
      </c>
      <c r="B9" s="6" t="s">
        <v>124</v>
      </c>
      <c r="C9" s="6" t="s">
        <v>135</v>
      </c>
      <c r="D9" s="7">
        <v>45501</v>
      </c>
      <c r="E9" s="8" t="s">
        <v>55</v>
      </c>
      <c r="F9" s="9">
        <v>381</v>
      </c>
      <c r="G9" s="9">
        <f>Table24283028[[#This Row],[Total Purchase Amount]]/Table24283028[[#This Row],[Purchase QTY]]</f>
        <v>625</v>
      </c>
      <c r="H9" s="9">
        <v>238125</v>
      </c>
      <c r="I9" s="9">
        <v>0</v>
      </c>
      <c r="J9" s="9"/>
      <c r="K9" s="9">
        <f>Table24283028[[#This Row],[Sales Qty]]*Table24283028[[#This Row],[SPPU]]</f>
        <v>0</v>
      </c>
      <c r="L9" s="9">
        <f>Table24283028[[#This Row],[Sales Qty]]*O8</f>
        <v>0</v>
      </c>
      <c r="M9" s="9">
        <f>M8+Table24283028[[#This Row],[Total Purchase Amount]]-Table24283028[[#This Row],[Principal Cost As per  NFRS (In case of Sales)]]</f>
        <v>873125</v>
      </c>
      <c r="N9" s="9">
        <f>N8+Table24283028[[#This Row],[Purchase QTY]]-Table24283028[[#This Row],[Sales Qty]]</f>
        <v>1381</v>
      </c>
      <c r="O9" s="42">
        <f>Table24283028[[#This Row],[TC AP NFRS]]/Table24283028[[#This Row],[Unit Sum]]</f>
        <v>632.24112961622018</v>
      </c>
      <c r="P9" s="10">
        <f>Table24283028[[#This Row],[Sales Amt]]-Table24283028[[#This Row],[Principal Cost As per  NFRS (In case of Sales)]]</f>
        <v>0</v>
      </c>
      <c r="R9" s="17">
        <f>35.72+785.82</f>
        <v>821.54000000000008</v>
      </c>
      <c r="S9" s="17">
        <v>25</v>
      </c>
      <c r="T9" s="20">
        <f t="shared" ref="T9:T11" si="0">R9+S9</f>
        <v>846.54000000000008</v>
      </c>
      <c r="U9" s="20">
        <f t="shared" ref="U9:U11" si="1">H9+T9</f>
        <v>238971.54</v>
      </c>
      <c r="V9" s="20">
        <v>0</v>
      </c>
      <c r="W9" s="20">
        <v>0</v>
      </c>
      <c r="X9" s="55">
        <f t="shared" ref="X9:X11" si="2">V9+W9</f>
        <v>0</v>
      </c>
      <c r="Y9" s="20">
        <v>0</v>
      </c>
      <c r="Z9" s="20">
        <f t="shared" ref="Z9:Z11" si="3">K9-X9-Y9</f>
        <v>0</v>
      </c>
      <c r="AA9" s="20">
        <f t="shared" ref="AA9:AA11" si="4">I9*AC8</f>
        <v>0</v>
      </c>
      <c r="AB9" s="20">
        <f t="shared" ref="AB9:AB10" si="5">AB8+U9-AA9</f>
        <v>876187.29</v>
      </c>
      <c r="AC9" s="20">
        <f t="shared" ref="AC9:AC11" si="6">IFERROR(AB9/N9,0)</f>
        <v>634.45857349746564</v>
      </c>
      <c r="AD9" s="56">
        <f t="shared" ref="AD9:AD11" si="7">Z9-AA9+Y9</f>
        <v>0</v>
      </c>
    </row>
    <row r="10" spans="1:30" ht="30" x14ac:dyDescent="0.25">
      <c r="A10" s="5">
        <f>A9+1</f>
        <v>4</v>
      </c>
      <c r="B10" s="6" t="s">
        <v>124</v>
      </c>
      <c r="C10" s="6" t="s">
        <v>141</v>
      </c>
      <c r="D10" s="7">
        <v>45502</v>
      </c>
      <c r="E10" s="8" t="s">
        <v>55</v>
      </c>
      <c r="F10" s="9">
        <v>1000</v>
      </c>
      <c r="G10" s="9">
        <f>IF(Table24283028[[#This Row],[SPPU]]&gt;0,0,Table24283028[[#This Row],[Total Purchase Amount]]/Table24283028[[#This Row],[Purchase QTY]])</f>
        <v>632</v>
      </c>
      <c r="H10" s="9">
        <v>632000</v>
      </c>
      <c r="I10" s="9">
        <v>0</v>
      </c>
      <c r="J10" s="9"/>
      <c r="K10" s="9">
        <f>Table24283028[[#This Row],[Sales Qty]]*Table24283028[[#This Row],[SPPU]]</f>
        <v>0</v>
      </c>
      <c r="L10" s="9">
        <f>Table24283028[[#This Row],[Sales Qty]]*O9</f>
        <v>0</v>
      </c>
      <c r="M10" s="9">
        <f>M9+Table24283028[[#This Row],[Total Purchase Amount]]-Table24283028[[#This Row],[Principal Cost As per  NFRS (In case of Sales)]]</f>
        <v>1505125</v>
      </c>
      <c r="N10" s="9">
        <f>N9+Table24283028[[#This Row],[Purchase QTY]]-Table24283028[[#This Row],[Sales Qty]]</f>
        <v>2381</v>
      </c>
      <c r="O10" s="42">
        <f>IFERROR(Table24283028[[#This Row],[TC AP NFRS]]/Table24283028[[#This Row],[Unit Sum]],0)</f>
        <v>632.13985720285598</v>
      </c>
      <c r="P10" s="10">
        <f>Table24283028[[#This Row],[Sales Amt]]-Table24283028[[#This Row],[Principal Cost As per  NFRS (In case of Sales)]]</f>
        <v>0</v>
      </c>
      <c r="R10" s="17">
        <f>94.8+1959.2</f>
        <v>2054</v>
      </c>
      <c r="S10" s="17">
        <v>25</v>
      </c>
      <c r="T10" s="20">
        <f t="shared" si="0"/>
        <v>2079</v>
      </c>
      <c r="U10" s="20">
        <f t="shared" si="1"/>
        <v>634079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1510266.29</v>
      </c>
      <c r="AC10" s="20">
        <f t="shared" si="6"/>
        <v>634.29915581688363</v>
      </c>
      <c r="AD10" s="56">
        <f t="shared" si="7"/>
        <v>0</v>
      </c>
    </row>
    <row r="11" spans="1:30" x14ac:dyDescent="0.25">
      <c r="A11" s="5">
        <f t="shared" ref="A11" si="8">A10+1</f>
        <v>5</v>
      </c>
      <c r="B11" s="6"/>
      <c r="C11" s="6"/>
      <c r="D11" s="7"/>
      <c r="E11" s="8"/>
      <c r="F11" s="9"/>
      <c r="G11" s="9" t="e">
        <f>Table24283028[[#This Row],[Total Purchase Amount]]/Table24283028[[#This Row],[Purchase QTY]]</f>
        <v>#DIV/0!</v>
      </c>
      <c r="H11" s="9"/>
      <c r="I11" s="9"/>
      <c r="J11" s="9"/>
      <c r="K11" s="9">
        <f>Table24283028[[#This Row],[Sales Qty]]*Table24283028[[#This Row],[SPPU]]</f>
        <v>0</v>
      </c>
      <c r="L11" s="9"/>
      <c r="M11" s="9">
        <f>M10+Table24283028[[#This Row],[Total Purchase Amount]]-Table24283028[[#This Row],[Principal Cost As per  NFRS (In case of Sales)]]</f>
        <v>1505125</v>
      </c>
      <c r="N11" s="9">
        <f>N10+Table24283028[[#This Row],[Purchase QTY]]-Table24283028[[#This Row],[Sales Qty]]</f>
        <v>2381</v>
      </c>
      <c r="O11" s="42">
        <f>Table24283028[[#This Row],[TC AP NFRS]]/Table24283028[[#This Row],[Unit Sum]]</f>
        <v>632.13985720285598</v>
      </c>
      <c r="P11" s="10">
        <f>Table24283028[[#This Row],[Sales Amt]]-Table24283028[[#This Row],[Principal Cost As per  NFRS (In case of Sales)]]</f>
        <v>0</v>
      </c>
      <c r="R11" s="17">
        <v>0</v>
      </c>
      <c r="S11" s="17"/>
      <c r="T11" s="20">
        <f t="shared" si="0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>AB10+U11-AA11</f>
        <v>1510266.29</v>
      </c>
      <c r="AC11" s="20">
        <f t="shared" si="6"/>
        <v>634.29915581688363</v>
      </c>
      <c r="AD11" s="56">
        <f t="shared" si="7"/>
        <v>0</v>
      </c>
    </row>
    <row r="12" spans="1:30" ht="15.75" x14ac:dyDescent="0.25">
      <c r="A12" s="11" t="s">
        <v>22</v>
      </c>
      <c r="B12" s="12"/>
      <c r="C12" s="12"/>
      <c r="D12" s="13"/>
      <c r="E12" s="14"/>
      <c r="F12" s="15">
        <f ca="1">SUM(INDIRECT("f4:f"&amp;ROW()-1))</f>
        <v>2381</v>
      </c>
      <c r="G12" s="15">
        <f ca="1">Table24283028[[#This Row],[Total Purchase Amount]]/Table24283028[[#This Row],[Purchase QTY]]</f>
        <v>632.13985720285598</v>
      </c>
      <c r="H12" s="15">
        <f ca="1">SUM(INDIRECT("h4:h"&amp;ROW()-1))</f>
        <v>1505125</v>
      </c>
      <c r="I12" s="15">
        <f ca="1">SUM(INDIRECT("i4:i"&amp;ROW()-1))</f>
        <v>0</v>
      </c>
      <c r="J12" s="15" t="e">
        <f ca="1">Table24283028[[#This Row],[Sales Amt]]/Table24283028[[#This Row],[Sales Qty]]</f>
        <v>#DIV/0!</v>
      </c>
      <c r="K12" s="15">
        <f ca="1">SUM(INDIRECT("k4:k"&amp;ROW()-1))</f>
        <v>0</v>
      </c>
      <c r="L12" s="15"/>
      <c r="M12" s="15">
        <f ca="1">Table24283028[[#This Row],[Total Purchase Amount]]-Table24283028[[#This Row],[Sales Amt]]</f>
        <v>1505125</v>
      </c>
      <c r="N12" s="15">
        <f ca="1">Table24283028[[#This Row],[Purchase QTY]]-Table24283028[[#This Row],[Sales Qty]]</f>
        <v>2381</v>
      </c>
      <c r="O12" s="43">
        <f ca="1">Table24283028[[#This Row],[TC AP NFRS]]/Table24283028[[#This Row],[Unit Sum]]</f>
        <v>632.13985720285598</v>
      </c>
      <c r="P12" s="15">
        <f>SUBTOTAL(109,P7:P11)</f>
        <v>0</v>
      </c>
      <c r="R12" s="24">
        <f>SUM(R7:R11)</f>
        <v>5066.29</v>
      </c>
      <c r="S12" s="24">
        <f t="shared" ref="S12:AD12" si="9">SUM(S7:S11)</f>
        <v>75</v>
      </c>
      <c r="T12" s="24">
        <f>SUM(T7:T11)</f>
        <v>5141.29</v>
      </c>
      <c r="U12" s="24">
        <f>SUM(U7:U11)</f>
        <v>1510266.29</v>
      </c>
      <c r="V12" s="24">
        <f t="shared" si="9"/>
        <v>0</v>
      </c>
      <c r="W12" s="24">
        <f t="shared" si="9"/>
        <v>0</v>
      </c>
      <c r="X12" s="24">
        <f t="shared" si="9"/>
        <v>0</v>
      </c>
      <c r="Y12" s="24">
        <f t="shared" si="9"/>
        <v>0</v>
      </c>
      <c r="Z12" s="24">
        <f t="shared" si="9"/>
        <v>0</v>
      </c>
      <c r="AA12" s="24">
        <f t="shared" si="9"/>
        <v>0</v>
      </c>
      <c r="AB12" s="24">
        <f>U12-AA12</f>
        <v>1510266.29</v>
      </c>
      <c r="AC12" s="24">
        <f ca="1">IFERROR(AB12/N12,0)</f>
        <v>634.29915581688363</v>
      </c>
      <c r="AD12" s="24">
        <f t="shared" si="9"/>
        <v>0</v>
      </c>
    </row>
    <row r="14" spans="1:30" x14ac:dyDescent="0.25">
      <c r="A14" t="s">
        <v>882</v>
      </c>
      <c r="R14" s="120" t="s">
        <v>20</v>
      </c>
      <c r="S14" s="121"/>
      <c r="T14" s="121"/>
      <c r="U14" s="50"/>
      <c r="V14" s="120" t="s">
        <v>67</v>
      </c>
      <c r="W14" s="121"/>
      <c r="X14" s="121"/>
      <c r="Y14" s="123" t="s">
        <v>13</v>
      </c>
      <c r="Z14" s="124" t="s">
        <v>10</v>
      </c>
      <c r="AA14" s="125" t="s">
        <v>66</v>
      </c>
      <c r="AB14" s="123" t="s">
        <v>15</v>
      </c>
      <c r="AC14" s="123" t="s">
        <v>18</v>
      </c>
      <c r="AD14" s="123" t="s">
        <v>12</v>
      </c>
    </row>
    <row r="15" spans="1:30" ht="75" x14ac:dyDescent="0.25">
      <c r="A15" s="1" t="s">
        <v>57</v>
      </c>
      <c r="B15" s="2" t="s">
        <v>0</v>
      </c>
      <c r="C15" s="2" t="s">
        <v>53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51</v>
      </c>
      <c r="I15" s="2" t="s">
        <v>6</v>
      </c>
      <c r="J15" s="16" t="s">
        <v>7</v>
      </c>
      <c r="K15" s="16" t="s">
        <v>8</v>
      </c>
      <c r="L15" s="2" t="s">
        <v>50</v>
      </c>
      <c r="M15" s="2" t="s">
        <v>14</v>
      </c>
      <c r="N15" s="2" t="s">
        <v>16</v>
      </c>
      <c r="O15" s="4" t="s">
        <v>17</v>
      </c>
      <c r="P15" s="3" t="s">
        <v>11</v>
      </c>
      <c r="R15" s="2" t="s">
        <v>65</v>
      </c>
      <c r="S15" s="2" t="s">
        <v>62</v>
      </c>
      <c r="T15" s="2" t="s">
        <v>5</v>
      </c>
      <c r="U15" s="2" t="s">
        <v>164</v>
      </c>
      <c r="V15" s="16" t="s">
        <v>64</v>
      </c>
      <c r="W15" s="16" t="s">
        <v>62</v>
      </c>
      <c r="X15" s="45" t="s">
        <v>9</v>
      </c>
      <c r="Y15" s="123"/>
      <c r="Z15" s="124"/>
      <c r="AA15" s="125"/>
      <c r="AB15" s="123"/>
      <c r="AC15" s="123"/>
      <c r="AD15" s="123"/>
    </row>
    <row r="16" spans="1:30" x14ac:dyDescent="0.25">
      <c r="A16" s="96">
        <v>1</v>
      </c>
      <c r="B16" s="97" t="s">
        <v>124</v>
      </c>
      <c r="C16" s="97"/>
      <c r="D16" s="98">
        <v>45886</v>
      </c>
      <c r="E16" s="99" t="s">
        <v>19</v>
      </c>
      <c r="F16" s="59">
        <v>2381</v>
      </c>
      <c r="G16" s="59">
        <v>632.13985720285598</v>
      </c>
      <c r="H16" s="59">
        <v>1505125</v>
      </c>
      <c r="I16" s="59"/>
      <c r="J16" s="59"/>
      <c r="K16" s="59"/>
      <c r="L16" s="59"/>
      <c r="M16" s="59">
        <v>1505125</v>
      </c>
      <c r="N16" s="59">
        <v>2381</v>
      </c>
      <c r="O16" s="59">
        <v>632.13985720285598</v>
      </c>
      <c r="P16" s="59"/>
      <c r="Q16" s="59"/>
      <c r="R16" s="59">
        <v>5066.29</v>
      </c>
      <c r="S16" s="59">
        <v>75</v>
      </c>
      <c r="T16" s="59">
        <v>5141.29</v>
      </c>
      <c r="U16" s="59">
        <v>1510266.29</v>
      </c>
      <c r="V16" s="59"/>
      <c r="W16" s="59"/>
      <c r="X16" s="59"/>
      <c r="Y16" s="59"/>
      <c r="Z16" s="59"/>
      <c r="AA16" s="59"/>
      <c r="AB16" s="59">
        <v>1510266.29</v>
      </c>
      <c r="AC16" s="59">
        <v>634.29915581688363</v>
      </c>
      <c r="AD16" s="59"/>
    </row>
  </sheetData>
  <mergeCells count="16">
    <mergeCell ref="AB14:AB15"/>
    <mergeCell ref="AC14:AC15"/>
    <mergeCell ref="AD14:AD15"/>
    <mergeCell ref="R14:T14"/>
    <mergeCell ref="V14:X14"/>
    <mergeCell ref="Y14:Y15"/>
    <mergeCell ref="Z14:Z15"/>
    <mergeCell ref="AA14:AA15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7D0C8D-3E3F-4609-8594-BF099EA3A344}">
          <x14:formula1>
            <xm:f>VALIDATION!$A$2:$A$7</xm:f>
          </x14:formula1>
          <xm:sqref>E7:E11 E16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B32A-0A8B-4D10-92FA-E70B784BB2B0}">
  <dimension ref="A1:AD17"/>
  <sheetViews>
    <sheetView topLeftCell="M4" workbookViewId="0">
      <selection activeCell="AC17" sqref="AC17"/>
    </sheetView>
  </sheetViews>
  <sheetFormatPr defaultRowHeight="15" x14ac:dyDescent="0.25"/>
  <cols>
    <col min="2" max="2" width="8.140625" bestFit="1" customWidth="1"/>
    <col min="3" max="3" width="16.85546875" customWidth="1"/>
    <col min="4" max="4" width="10.28515625" bestFit="1" customWidth="1"/>
    <col min="6" max="6" width="11.5703125" bestFit="1" customWidth="1"/>
    <col min="7" max="7" width="9.5703125" bestFit="1" customWidth="1"/>
    <col min="8" max="8" width="15.7109375" bestFit="1" customWidth="1"/>
    <col min="9" max="9" width="10.85546875" bestFit="1" customWidth="1"/>
    <col min="10" max="10" width="9.5703125" customWidth="1"/>
    <col min="11" max="11" width="12.42578125" bestFit="1" customWidth="1"/>
    <col min="12" max="12" width="13.5703125" bestFit="1" customWidth="1"/>
    <col min="13" max="13" width="15.140625" bestFit="1" customWidth="1"/>
    <col min="14" max="14" width="14.5703125" bestFit="1" customWidth="1"/>
    <col min="15" max="15" width="11.5703125" bestFit="1" customWidth="1"/>
    <col min="16" max="16" width="15.28515625" bestFit="1" customWidth="1"/>
    <col min="17" max="17" width="13.85546875" bestFit="1" customWidth="1"/>
    <col min="18" max="18" width="15.7109375" bestFit="1" customWidth="1"/>
    <col min="19" max="19" width="9.28515625" bestFit="1" customWidth="1"/>
    <col min="20" max="20" width="11.5703125" bestFit="1" customWidth="1"/>
    <col min="21" max="21" width="15.7109375" bestFit="1" customWidth="1"/>
    <col min="22" max="27" width="9.28515625" bestFit="1" customWidth="1"/>
    <col min="28" max="28" width="15.7109375" bestFit="1" customWidth="1"/>
    <col min="29" max="29" width="11.5703125" bestFit="1" customWidth="1"/>
    <col min="30" max="30" width="9.2851562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x14ac:dyDescent="0.25">
      <c r="A7" s="5">
        <v>1</v>
      </c>
      <c r="B7" s="6" t="s">
        <v>121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Table2428302227[[#This Row],[PPPU]]*Table2428302227[[#This Row],[Purchase QTY]]</f>
        <v>0</v>
      </c>
      <c r="I7" s="9"/>
      <c r="J7" s="9"/>
      <c r="K7" s="9">
        <f>Table2428302227[[#This Row],[Sales Qty]]*Table2428302227[[#This Row],[SPPU]]</f>
        <v>0</v>
      </c>
      <c r="L7" s="9"/>
      <c r="M7" s="9">
        <f>Table2428302227[[#This Row],[Total Purchase Amount]]</f>
        <v>0</v>
      </c>
      <c r="N7" s="9">
        <f>IF(Table2428302227[[#This Row],[Txn Type]]="opening",Table2428302227[[#This Row],[Purchase QTY]],"Error")</f>
        <v>0</v>
      </c>
      <c r="O7" s="42">
        <f>IFERROR(Table2428302227[[#This Row],[TC AP NFRS]]/Table2428302227[[#This Row],[Unit Sum]],0)</f>
        <v>0</v>
      </c>
      <c r="P7" s="10">
        <f>Table2428302227[[#This Row],[Sales Amt]]-Table2428302227[[#This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0" ht="30" x14ac:dyDescent="0.25">
      <c r="A8" s="5">
        <v>2</v>
      </c>
      <c r="B8" s="6" t="s">
        <v>121</v>
      </c>
      <c r="C8" s="6" t="s">
        <v>122</v>
      </c>
      <c r="D8" s="7">
        <v>45865</v>
      </c>
      <c r="E8" s="8" t="s">
        <v>55</v>
      </c>
      <c r="F8" s="9">
        <v>135</v>
      </c>
      <c r="G8" s="9">
        <f>IF(Table2428302227[[#This Row],[SPPU]]&gt;0,0,Table2428302227[[#This Row],[Total Purchase Amount]]/Table2428302227[[#This Row],[Purchase QTY]])</f>
        <v>2862.2</v>
      </c>
      <c r="H8" s="9">
        <v>386397</v>
      </c>
      <c r="I8" s="9">
        <v>0</v>
      </c>
      <c r="J8" s="9">
        <v>0</v>
      </c>
      <c r="K8" s="9">
        <f>Table2428302227[[#This Row],[Sales Qty]]*Table2428302227[[#This Row],[SPPU]]</f>
        <v>0</v>
      </c>
      <c r="L8" s="9">
        <f>Table2428302227[[#This Row],[Sales Qty]]*O7</f>
        <v>0</v>
      </c>
      <c r="M8" s="9">
        <f>M7+Table2428302227[[#This Row],[Total Purchase Amount]]-Table2428302227[[#This Row],[Principal Cost As per  NFRS (In case of Sales)]]</f>
        <v>386397</v>
      </c>
      <c r="N8" s="9">
        <f>N7+Table2428302227[[#This Row],[Purchase QTY]]-Table2428302227[[#This Row],[Sales Qty]]</f>
        <v>135</v>
      </c>
      <c r="O8" s="42">
        <f>IFERROR(Table2428302227[[#This Row],[TC AP NFRS]]/Table2428302227[[#This Row],[Unit Sum]],0)</f>
        <v>2862.2</v>
      </c>
      <c r="P8" s="10">
        <f>Table2428302227[[#This Row],[Sales Amt]]-Table2428302227[[#This Row],[Principal Cost As per  NFRS (In case of Sales)]]</f>
        <v>0</v>
      </c>
      <c r="R8" s="17">
        <f>57.96+1275.11</f>
        <v>1333.07</v>
      </c>
      <c r="S8" s="17">
        <v>25</v>
      </c>
      <c r="T8" s="20">
        <f>R8+S8</f>
        <v>1358.07</v>
      </c>
      <c r="U8" s="20">
        <f>H8+T8</f>
        <v>387755.07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387755.07</v>
      </c>
      <c r="AC8" s="20">
        <f>IFERROR(AB8/N8,0)</f>
        <v>2872.2597777777778</v>
      </c>
      <c r="AD8" s="56">
        <f>Z8-AA8+Y8</f>
        <v>0</v>
      </c>
    </row>
    <row r="9" spans="1:30" ht="30" x14ac:dyDescent="0.25">
      <c r="A9" s="5">
        <f>A8+1</f>
        <v>3</v>
      </c>
      <c r="B9" s="6" t="s">
        <v>121</v>
      </c>
      <c r="C9" s="6" t="s">
        <v>134</v>
      </c>
      <c r="D9" s="7">
        <v>45866</v>
      </c>
      <c r="E9" s="8" t="s">
        <v>55</v>
      </c>
      <c r="F9" s="9">
        <v>399</v>
      </c>
      <c r="G9" s="9">
        <f>Table2428302227[[#This Row],[Total Purchase Amount]]/Table2428302227[[#This Row],[Purchase QTY]]</f>
        <v>2855</v>
      </c>
      <c r="H9" s="9">
        <v>1139145</v>
      </c>
      <c r="I9" s="9">
        <v>0</v>
      </c>
      <c r="J9" s="9"/>
      <c r="K9" s="9">
        <f>Table2428302227[[#This Row],[Sales Qty]]*Table2428302227[[#This Row],[SPPU]]</f>
        <v>0</v>
      </c>
      <c r="L9" s="9"/>
      <c r="M9" s="9">
        <f>M8+Table2428302227[[#This Row],[Total Purchase Amount]]-Table2428302227[[#This Row],[Principal Cost As per  NFRS (In case of Sales)]]</f>
        <v>1525542</v>
      </c>
      <c r="N9" s="9">
        <f>N8+Table2428302227[[#This Row],[Purchase QTY]]-Table2428302227[[#This Row],[Sales Qty]]</f>
        <v>534</v>
      </c>
      <c r="O9" s="42">
        <f>Table2428302227[[#This Row],[TC AP NFRS]]/Table2428302227[[#This Row],[Unit Sum]]</f>
        <v>2856.8202247191011</v>
      </c>
      <c r="P9" s="10">
        <f>Table2428302227[[#This Row],[Sales Amt]]-Table2428302227[[#This Row],[Principal Cost As per  NFRS (In case of Sales)]]</f>
        <v>0</v>
      </c>
      <c r="R9" s="17">
        <f>170.88+3651.26</f>
        <v>3822.1400000000003</v>
      </c>
      <c r="S9" s="17">
        <v>25</v>
      </c>
      <c r="T9" s="20">
        <f t="shared" ref="T9:T10" si="0">R9+S9</f>
        <v>3847.1400000000003</v>
      </c>
      <c r="U9" s="20">
        <f t="shared" ref="U9:U10" si="1">H9+T9</f>
        <v>1142992.1399999999</v>
      </c>
      <c r="V9" s="20">
        <v>0</v>
      </c>
      <c r="W9" s="20">
        <v>0</v>
      </c>
      <c r="X9" s="55">
        <f t="shared" ref="X9:X10" si="2">V9+W9</f>
        <v>0</v>
      </c>
      <c r="Y9" s="20">
        <v>0</v>
      </c>
      <c r="Z9" s="20">
        <f t="shared" ref="Z9:Z10" si="3">K9-X9-Y9</f>
        <v>0</v>
      </c>
      <c r="AA9" s="20">
        <f t="shared" ref="AA9:AA10" si="4">I9*AC8</f>
        <v>0</v>
      </c>
      <c r="AB9" s="20">
        <f t="shared" ref="AB9:AB10" si="5">AB8+U9-AA9</f>
        <v>1530747.21</v>
      </c>
      <c r="AC9" s="20">
        <f t="shared" ref="AC9:AC10" si="6">IFERROR(AB9/N9,0)</f>
        <v>2866.5678089887638</v>
      </c>
      <c r="AD9" s="56">
        <f t="shared" ref="AD9:AD10" si="7">Z9-AA9+Y9</f>
        <v>0</v>
      </c>
    </row>
    <row r="10" spans="1:30" ht="30" x14ac:dyDescent="0.25">
      <c r="A10" s="5">
        <f>A9+1</f>
        <v>4</v>
      </c>
      <c r="B10" s="6" t="s">
        <v>121</v>
      </c>
      <c r="C10" s="6" t="s">
        <v>140</v>
      </c>
      <c r="D10" s="7">
        <v>45867</v>
      </c>
      <c r="E10" s="8" t="s">
        <v>55</v>
      </c>
      <c r="F10" s="9">
        <v>10</v>
      </c>
      <c r="G10" s="9">
        <f>Table2428302227[[#This Row],[Total Purchase Amount]]/Table2428302227[[#This Row],[Purchase QTY]]</f>
        <v>2846.5</v>
      </c>
      <c r="H10" s="9">
        <v>28465</v>
      </c>
      <c r="I10" s="9"/>
      <c r="J10" s="9"/>
      <c r="K10" s="9">
        <f>Table2428302227[[#This Row],[Sales Qty]]*Table2428302227[[#This Row],[SPPU]]</f>
        <v>0</v>
      </c>
      <c r="L10" s="9"/>
      <c r="M10" s="9">
        <f>M9+Table2428302227[[#This Row],[Total Purchase Amount]]-Table2428302227[[#This Row],[Principal Cost As per  NFRS (In case of Sales)]]</f>
        <v>1554007</v>
      </c>
      <c r="N10" s="9">
        <f>N9+Table2428302227[[#This Row],[Purchase QTY]]-Table2428302227[[#This Row],[Sales Qty]]</f>
        <v>544</v>
      </c>
      <c r="O10" s="42">
        <f>Table2428302227[[#This Row],[TC AP NFRS]]/Table2428302227[[#This Row],[Unit Sum]]</f>
        <v>2856.6305147058824</v>
      </c>
      <c r="P10" s="10">
        <f>Table2428302227[[#This Row],[Sales Amt]]-Table2428302227[[#This Row],[Principal Cost As per  NFRS (In case of Sales)]]</f>
        <v>0</v>
      </c>
      <c r="R10" s="17">
        <f>4.27+102.47</f>
        <v>106.74</v>
      </c>
      <c r="S10" s="17">
        <v>25</v>
      </c>
      <c r="T10" s="20">
        <f t="shared" si="0"/>
        <v>131.74</v>
      </c>
      <c r="U10" s="20">
        <f t="shared" si="1"/>
        <v>28596.74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1559343.95</v>
      </c>
      <c r="AC10" s="20">
        <f t="shared" si="6"/>
        <v>2866.4410845588236</v>
      </c>
      <c r="AD10" s="56">
        <f t="shared" si="7"/>
        <v>0</v>
      </c>
    </row>
    <row r="11" spans="1:30" ht="15.75" x14ac:dyDescent="0.25">
      <c r="A11" s="11" t="s">
        <v>22</v>
      </c>
      <c r="B11" s="12"/>
      <c r="C11" s="12"/>
      <c r="D11" s="13"/>
      <c r="E11" s="14"/>
      <c r="F11" s="15">
        <f ca="1">SUM(INDIRECT("f4:f"&amp;ROW()-1))</f>
        <v>544</v>
      </c>
      <c r="G11" s="15"/>
      <c r="H11" s="15">
        <f ca="1">SUM(INDIRECT("h4:h"&amp;ROW()-1))</f>
        <v>1554007</v>
      </c>
      <c r="I11" s="15">
        <f ca="1">SUM(INDIRECT("i4:i"&amp;ROW()-1))</f>
        <v>0</v>
      </c>
      <c r="J11" s="15"/>
      <c r="K11" s="15">
        <f ca="1">SUM(INDIRECT("k4:k"&amp;ROW()-1))</f>
        <v>0</v>
      </c>
      <c r="L11" s="15"/>
      <c r="M11" s="15">
        <f ca="1">Table2428302227[[#This Row],[Total Purchase Amount]]-Table2428302227[[#This Row],[Principal Cost As per  NFRS (In case of Sales)]]</f>
        <v>1554007</v>
      </c>
      <c r="N11" s="15">
        <f ca="1">Table2428302227[[#This Row],[Purchase QTY]]-Table2428302227[[#This Row],[Sales Qty]]</f>
        <v>544</v>
      </c>
      <c r="O11" s="43">
        <f ca="1">Table2428302227[[#This Row],[TC AP NFRS]]/Table2428302227[[#This Row],[Unit Sum]]</f>
        <v>2856.6305147058824</v>
      </c>
      <c r="P11" s="15">
        <f>SUM(P7:P8)</f>
        <v>0</v>
      </c>
      <c r="R11" s="24">
        <f>SUM(R7:R10)</f>
        <v>5261.95</v>
      </c>
      <c r="S11" s="24">
        <f t="shared" ref="S11:AD11" si="8">SUM(S7:S10)</f>
        <v>75</v>
      </c>
      <c r="T11" s="24">
        <f>SUM(T7:T10)</f>
        <v>5336.95</v>
      </c>
      <c r="U11" s="24">
        <f>SUM(U7:U10)</f>
        <v>1559343.95</v>
      </c>
      <c r="V11" s="24">
        <f t="shared" si="8"/>
        <v>0</v>
      </c>
      <c r="W11" s="24">
        <f t="shared" si="8"/>
        <v>0</v>
      </c>
      <c r="X11" s="24">
        <f t="shared" si="8"/>
        <v>0</v>
      </c>
      <c r="Y11" s="24">
        <f t="shared" si="8"/>
        <v>0</v>
      </c>
      <c r="Z11" s="24">
        <f t="shared" si="8"/>
        <v>0</v>
      </c>
      <c r="AA11" s="24">
        <f t="shared" si="8"/>
        <v>0</v>
      </c>
      <c r="AB11" s="24">
        <f>U11-AA11</f>
        <v>1559343.95</v>
      </c>
      <c r="AC11" s="24">
        <f ca="1">AB11/Table2428302227[[#This Row],[Unit Sum]]</f>
        <v>2866.4410845588236</v>
      </c>
      <c r="AD11" s="24">
        <f t="shared" si="8"/>
        <v>0</v>
      </c>
    </row>
    <row r="14" spans="1:30" x14ac:dyDescent="0.25">
      <c r="A14" t="s">
        <v>882</v>
      </c>
      <c r="R14" s="120" t="s">
        <v>20</v>
      </c>
      <c r="S14" s="121"/>
      <c r="T14" s="121"/>
      <c r="U14" s="50"/>
      <c r="V14" s="120" t="s">
        <v>67</v>
      </c>
      <c r="W14" s="121"/>
      <c r="X14" s="121"/>
      <c r="Y14" s="123" t="s">
        <v>13</v>
      </c>
      <c r="Z14" s="124" t="s">
        <v>10</v>
      </c>
      <c r="AA14" s="125" t="s">
        <v>66</v>
      </c>
      <c r="AB14" s="123" t="s">
        <v>15</v>
      </c>
      <c r="AC14" s="123" t="s">
        <v>18</v>
      </c>
      <c r="AD14" s="123" t="s">
        <v>12</v>
      </c>
    </row>
    <row r="15" spans="1:30" ht="75" x14ac:dyDescent="0.25">
      <c r="A15" s="1" t="s">
        <v>57</v>
      </c>
      <c r="B15" s="2" t="s">
        <v>0</v>
      </c>
      <c r="C15" s="2" t="s">
        <v>53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51</v>
      </c>
      <c r="I15" s="2" t="s">
        <v>6</v>
      </c>
      <c r="J15" s="16" t="s">
        <v>7</v>
      </c>
      <c r="K15" s="16" t="s">
        <v>8</v>
      </c>
      <c r="L15" s="2" t="s">
        <v>50</v>
      </c>
      <c r="M15" s="2" t="s">
        <v>14</v>
      </c>
      <c r="N15" s="2" t="s">
        <v>16</v>
      </c>
      <c r="O15" s="4" t="s">
        <v>17</v>
      </c>
      <c r="P15" s="3" t="s">
        <v>11</v>
      </c>
      <c r="R15" s="2" t="s">
        <v>65</v>
      </c>
      <c r="S15" s="2" t="s">
        <v>62</v>
      </c>
      <c r="T15" s="2" t="s">
        <v>5</v>
      </c>
      <c r="U15" s="2" t="s">
        <v>164</v>
      </c>
      <c r="V15" s="16" t="s">
        <v>64</v>
      </c>
      <c r="W15" s="16" t="s">
        <v>62</v>
      </c>
      <c r="X15" s="45" t="s">
        <v>9</v>
      </c>
      <c r="Y15" s="123"/>
      <c r="Z15" s="124"/>
      <c r="AA15" s="125"/>
      <c r="AB15" s="123"/>
      <c r="AC15" s="123"/>
      <c r="AD15" s="123"/>
    </row>
    <row r="16" spans="1:30" x14ac:dyDescent="0.25">
      <c r="A16" s="96">
        <v>1</v>
      </c>
      <c r="B16" s="97" t="s">
        <v>121</v>
      </c>
      <c r="C16" s="97"/>
      <c r="D16" s="98">
        <v>45886</v>
      </c>
      <c r="E16" s="99" t="s">
        <v>19</v>
      </c>
      <c r="F16" s="59">
        <v>544</v>
      </c>
      <c r="G16" s="59"/>
      <c r="H16" s="59">
        <v>1554007</v>
      </c>
      <c r="I16" s="59">
        <v>0</v>
      </c>
      <c r="J16" s="59"/>
      <c r="K16" s="59">
        <v>0</v>
      </c>
      <c r="L16" s="59"/>
      <c r="M16" s="59">
        <v>1554007</v>
      </c>
      <c r="N16" s="59">
        <v>544</v>
      </c>
      <c r="O16" s="59">
        <v>2856.6305147058824</v>
      </c>
      <c r="P16" s="59">
        <v>0</v>
      </c>
      <c r="Q16" s="59"/>
      <c r="R16" s="59">
        <v>5261.95</v>
      </c>
      <c r="S16" s="59">
        <v>75</v>
      </c>
      <c r="T16" s="59">
        <v>5336.95</v>
      </c>
      <c r="U16" s="59">
        <v>1559343.95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1559343.95</v>
      </c>
      <c r="AC16" s="59">
        <v>2866.4410845588236</v>
      </c>
      <c r="AD16" s="59">
        <v>0</v>
      </c>
    </row>
    <row r="17" spans="1:30" ht="30" x14ac:dyDescent="0.25">
      <c r="A17" s="95">
        <v>2</v>
      </c>
      <c r="B17" t="s">
        <v>121</v>
      </c>
      <c r="C17" s="97" t="s">
        <v>906</v>
      </c>
      <c r="D17" s="98">
        <v>45900</v>
      </c>
      <c r="E17" t="s">
        <v>20</v>
      </c>
      <c r="F17" s="59">
        <v>300</v>
      </c>
      <c r="G17" s="59">
        <f>H17/F17</f>
        <v>2515.0133333333333</v>
      </c>
      <c r="H17" s="59">
        <v>754504</v>
      </c>
      <c r="I17" s="9"/>
      <c r="J17" s="9"/>
      <c r="K17" s="9"/>
      <c r="L17" s="9"/>
      <c r="M17" s="9">
        <f>M16+H17-L17</f>
        <v>2308511</v>
      </c>
      <c r="N17" s="9">
        <f>N16+F17-I17</f>
        <v>844</v>
      </c>
      <c r="O17" s="42">
        <f>M17/N17</f>
        <v>2735.2026066350709</v>
      </c>
      <c r="P17" s="10"/>
      <c r="Q17" s="59"/>
      <c r="R17" s="20">
        <f>2498.93+113.19</f>
        <v>2612.12</v>
      </c>
      <c r="S17" s="20">
        <v>25</v>
      </c>
      <c r="T17" s="20">
        <f t="shared" ref="T17" si="9">R17+S17</f>
        <v>2637.12</v>
      </c>
      <c r="U17" s="20">
        <f t="shared" ref="U17" si="10">H17+T17</f>
        <v>757141.12</v>
      </c>
      <c r="V17" s="20">
        <v>0</v>
      </c>
      <c r="W17" s="20">
        <v>0</v>
      </c>
      <c r="X17" s="55">
        <f t="shared" ref="X17" si="11">V17+W17</f>
        <v>0</v>
      </c>
      <c r="Y17" s="20">
        <v>0</v>
      </c>
      <c r="Z17" s="20">
        <f t="shared" ref="Z17" si="12">K17-X17-Y17</f>
        <v>0</v>
      </c>
      <c r="AA17" s="20">
        <f t="shared" ref="AA17" si="13">I17*AC16</f>
        <v>0</v>
      </c>
      <c r="AB17" s="20">
        <f t="shared" ref="AB17" si="14">AB16+U17-AA17</f>
        <v>2316485.0699999998</v>
      </c>
      <c r="AC17" s="20">
        <f t="shared" ref="AC17" si="15">IFERROR(AB17/N17,0)</f>
        <v>2744.6505568720377</v>
      </c>
      <c r="AD17" s="56">
        <f t="shared" ref="AD17" si="16">Z17-AA17+Y17</f>
        <v>0</v>
      </c>
    </row>
  </sheetData>
  <mergeCells count="16">
    <mergeCell ref="AB14:AB15"/>
    <mergeCell ref="AC14:AC15"/>
    <mergeCell ref="AD14:AD15"/>
    <mergeCell ref="R14:T14"/>
    <mergeCell ref="V14:X14"/>
    <mergeCell ref="Y14:Y15"/>
    <mergeCell ref="Z14:Z15"/>
    <mergeCell ref="AA14:AA15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3944002-CBA9-4DA0-B06C-31EB303A35C5}">
          <x14:formula1>
            <xm:f>VALIDATION!$A$2:$A$7</xm:f>
          </x14:formula1>
          <xm:sqref>E7:E10 E16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DB60-9513-4D95-BD69-77D650327DB5}">
  <dimension ref="A1:AD4"/>
  <sheetViews>
    <sheetView topLeftCell="G1" workbookViewId="0">
      <selection activeCell="G4" sqref="G4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208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208</v>
      </c>
      <c r="C4" s="6" t="s">
        <v>910</v>
      </c>
      <c r="D4" s="7">
        <v>45900</v>
      </c>
      <c r="E4" s="8" t="s">
        <v>20</v>
      </c>
      <c r="F4" s="9">
        <v>600</v>
      </c>
      <c r="G4" s="9">
        <f>H4/F4</f>
        <v>950.1</v>
      </c>
      <c r="H4" s="9">
        <v>570060</v>
      </c>
      <c r="I4" s="9">
        <v>0</v>
      </c>
      <c r="J4" s="9">
        <v>0</v>
      </c>
      <c r="K4" s="9">
        <v>0</v>
      </c>
      <c r="L4" s="9">
        <v>0</v>
      </c>
      <c r="M4" s="9">
        <f>M3+H4-L4</f>
        <v>570060</v>
      </c>
      <c r="N4" s="9">
        <f>N3+F4-I4</f>
        <v>600</v>
      </c>
      <c r="O4" s="42">
        <f>IFERROR(M4/N4,0)</f>
        <v>950.1</v>
      </c>
      <c r="P4" s="10">
        <v>0</v>
      </c>
      <c r="R4" s="17">
        <f>1901.27+85.51</f>
        <v>1986.78</v>
      </c>
      <c r="S4" s="17">
        <v>25</v>
      </c>
      <c r="T4" s="20">
        <f>R4+S4</f>
        <v>2011.78</v>
      </c>
      <c r="U4" s="20">
        <f>H4+T4</f>
        <v>572071.78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572071.78</v>
      </c>
      <c r="AC4" s="20">
        <f>IFERROR(AB4/N4,0)</f>
        <v>953.45296666666673</v>
      </c>
      <c r="AD4" s="56">
        <f>Z4-AA4+Y4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C33887-41DA-4E71-82E2-C60827E93B54}">
          <x14:formula1>
            <xm:f>VALIDATION!$A$2:$A$7</xm:f>
          </x14:formula1>
          <xm:sqref>E3:E4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3036-70DC-4EBE-8D52-5F1F2D87982F}">
  <dimension ref="A1:AD4"/>
  <sheetViews>
    <sheetView topLeftCell="J1" workbookViewId="0">
      <selection activeCell="AE4" sqref="AE4"/>
    </sheetView>
  </sheetViews>
  <sheetFormatPr defaultRowHeight="15" x14ac:dyDescent="0.25"/>
  <cols>
    <col min="3" max="3" width="11.85546875" customWidth="1"/>
    <col min="4" max="4" width="10.28515625" bestFit="1" customWidth="1"/>
    <col min="7" max="7" width="10.42578125" bestFit="1" customWidth="1"/>
    <col min="8" max="8" width="12.7109375" bestFit="1" customWidth="1"/>
    <col min="13" max="13" width="12.7109375" bestFit="1" customWidth="1"/>
    <col min="15" max="15" width="10.42578125" bestFit="1" customWidth="1"/>
    <col min="18" max="18" width="10.5703125" bestFit="1" customWidth="1"/>
    <col min="20" max="20" width="10.42578125" bestFit="1" customWidth="1"/>
    <col min="21" max="21" width="12.7109375" bestFit="1" customWidth="1"/>
    <col min="28" max="28" width="12.7109375" bestFit="1" customWidth="1"/>
    <col min="29" max="29" width="14.7109375" bestFit="1" customWidth="1"/>
  </cols>
  <sheetData>
    <row r="1" spans="1:30" x14ac:dyDescent="0.25">
      <c r="A1" t="s">
        <v>885</v>
      </c>
      <c r="R1" s="120" t="s">
        <v>20</v>
      </c>
      <c r="S1" s="121"/>
      <c r="T1" s="121"/>
      <c r="U1" s="50"/>
      <c r="V1" s="120" t="s">
        <v>67</v>
      </c>
      <c r="W1" s="121"/>
      <c r="X1" s="121"/>
      <c r="Y1" s="123" t="s">
        <v>13</v>
      </c>
      <c r="Z1" s="124" t="s">
        <v>10</v>
      </c>
      <c r="AA1" s="125" t="s">
        <v>66</v>
      </c>
      <c r="AB1" s="123" t="s">
        <v>15</v>
      </c>
      <c r="AC1" s="123" t="s">
        <v>18</v>
      </c>
      <c r="AD1" s="123" t="s">
        <v>12</v>
      </c>
    </row>
    <row r="2" spans="1:30" ht="105" x14ac:dyDescent="0.25">
      <c r="A2" s="1" t="s">
        <v>57</v>
      </c>
      <c r="B2" s="2" t="s">
        <v>0</v>
      </c>
      <c r="C2" s="2" t="s">
        <v>53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51</v>
      </c>
      <c r="I2" s="2" t="s">
        <v>6</v>
      </c>
      <c r="J2" s="16" t="s">
        <v>7</v>
      </c>
      <c r="K2" s="16" t="s">
        <v>8</v>
      </c>
      <c r="L2" s="2" t="s">
        <v>50</v>
      </c>
      <c r="M2" s="2" t="s">
        <v>14</v>
      </c>
      <c r="N2" s="2" t="s">
        <v>16</v>
      </c>
      <c r="O2" s="4" t="s">
        <v>17</v>
      </c>
      <c r="P2" s="3" t="s">
        <v>11</v>
      </c>
      <c r="R2" s="2" t="s">
        <v>65</v>
      </c>
      <c r="S2" s="2" t="s">
        <v>62</v>
      </c>
      <c r="T2" s="2" t="s">
        <v>5</v>
      </c>
      <c r="U2" s="2" t="s">
        <v>164</v>
      </c>
      <c r="V2" s="16" t="s">
        <v>64</v>
      </c>
      <c r="W2" s="16" t="s">
        <v>62</v>
      </c>
      <c r="X2" s="45" t="s">
        <v>9</v>
      </c>
      <c r="Y2" s="123"/>
      <c r="Z2" s="124"/>
      <c r="AA2" s="125"/>
      <c r="AB2" s="123"/>
      <c r="AC2" s="123"/>
      <c r="AD2" s="123"/>
    </row>
    <row r="3" spans="1:30" x14ac:dyDescent="0.25">
      <c r="A3" s="5">
        <v>1</v>
      </c>
      <c r="B3" s="6" t="s">
        <v>384</v>
      </c>
      <c r="C3" s="6"/>
      <c r="D3" s="7">
        <v>45886</v>
      </c>
      <c r="E3" s="8" t="s">
        <v>19</v>
      </c>
      <c r="F3" s="9">
        <v>0</v>
      </c>
      <c r="G3" s="9">
        <v>0</v>
      </c>
      <c r="H3" s="9">
        <v>0</v>
      </c>
      <c r="I3" s="9"/>
      <c r="J3" s="9"/>
      <c r="K3" s="9">
        <v>0</v>
      </c>
      <c r="L3" s="9"/>
      <c r="M3" s="9">
        <v>0</v>
      </c>
      <c r="N3" s="9">
        <v>0</v>
      </c>
      <c r="O3" s="42">
        <v>0</v>
      </c>
      <c r="P3" s="10">
        <v>0</v>
      </c>
      <c r="R3" s="17"/>
      <c r="S3" s="17"/>
      <c r="T3" s="20">
        <f>R3+S3</f>
        <v>0</v>
      </c>
      <c r="U3" s="20">
        <f>AB3</f>
        <v>0</v>
      </c>
      <c r="V3" s="20"/>
      <c r="W3" s="20"/>
      <c r="X3" s="20"/>
      <c r="Y3" s="46"/>
      <c r="Z3" s="46"/>
      <c r="AA3" s="46"/>
      <c r="AB3" s="46">
        <f>F3*AC3</f>
        <v>0</v>
      </c>
      <c r="AC3" s="46"/>
      <c r="AD3" s="56"/>
    </row>
    <row r="4" spans="1:30" ht="30" x14ac:dyDescent="0.25">
      <c r="A4" s="5">
        <v>2</v>
      </c>
      <c r="B4" s="6" t="s">
        <v>384</v>
      </c>
      <c r="C4" s="6" t="s">
        <v>909</v>
      </c>
      <c r="D4" s="7">
        <v>45893</v>
      </c>
      <c r="E4" s="8" t="s">
        <v>20</v>
      </c>
      <c r="F4" s="9">
        <v>100</v>
      </c>
      <c r="G4" s="9">
        <f>H4/F4</f>
        <v>681</v>
      </c>
      <c r="H4" s="9">
        <v>68100</v>
      </c>
      <c r="I4" s="9">
        <v>0</v>
      </c>
      <c r="J4" s="9">
        <v>0</v>
      </c>
      <c r="K4" s="9">
        <v>0</v>
      </c>
      <c r="L4" s="9">
        <v>0</v>
      </c>
      <c r="M4" s="9">
        <f>M3+H4-L4</f>
        <v>68100</v>
      </c>
      <c r="N4" s="9">
        <f>N3+F4-I4</f>
        <v>100</v>
      </c>
      <c r="O4" s="42">
        <f>IFERROR(M4/N4,0)</f>
        <v>681</v>
      </c>
      <c r="P4" s="10">
        <v>0</v>
      </c>
      <c r="R4" s="17">
        <f>224.73+10.22</f>
        <v>234.95</v>
      </c>
      <c r="S4" s="17">
        <v>25</v>
      </c>
      <c r="T4" s="20">
        <f>R4+S4</f>
        <v>259.95</v>
      </c>
      <c r="U4" s="20">
        <f>H4+T4</f>
        <v>68359.95</v>
      </c>
      <c r="V4" s="20">
        <v>0</v>
      </c>
      <c r="W4" s="20">
        <v>0</v>
      </c>
      <c r="X4" s="55">
        <f>V4+W4</f>
        <v>0</v>
      </c>
      <c r="Y4" s="20">
        <v>0</v>
      </c>
      <c r="Z4" s="20">
        <f>K4-X4-Y4</f>
        <v>0</v>
      </c>
      <c r="AA4" s="20">
        <f>I4*AC3</f>
        <v>0</v>
      </c>
      <c r="AB4" s="20">
        <f>AB3+U4-AA4</f>
        <v>68359.95</v>
      </c>
      <c r="AC4" s="20">
        <f>IFERROR(AB4/N4,0)</f>
        <v>683.59949999999992</v>
      </c>
      <c r="AD4" s="56">
        <f>Z4-AA4+Y4</f>
        <v>0</v>
      </c>
    </row>
  </sheetData>
  <mergeCells count="8">
    <mergeCell ref="AC1:AC2"/>
    <mergeCell ref="AD1:AD2"/>
    <mergeCell ref="R1:T1"/>
    <mergeCell ref="V1:X1"/>
    <mergeCell ref="Y1:Y2"/>
    <mergeCell ref="Z1:Z2"/>
    <mergeCell ref="AA1:AA2"/>
    <mergeCell ref="AB1:AB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0153B9-14A0-45FF-BFED-1FA0D674B867}">
          <x14:formula1>
            <xm:f>VALIDATION!$A$2:$A$7</xm:f>
          </x14:formula1>
          <xm:sqref>E3:E4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C0BC-1C84-429B-8D99-456E0FA0DCB2}">
  <dimension ref="A1:AE21"/>
  <sheetViews>
    <sheetView workbookViewId="0">
      <selection activeCell="AD19" sqref="A19:AD20"/>
    </sheetView>
  </sheetViews>
  <sheetFormatPr defaultRowHeight="15" x14ac:dyDescent="0.25"/>
  <cols>
    <col min="2" max="2" width="8.140625" bestFit="1" customWidth="1"/>
    <col min="3" max="3" width="18.5703125" customWidth="1"/>
    <col min="4" max="4" width="10.28515625" bestFit="1" customWidth="1"/>
    <col min="6" max="6" width="12" bestFit="1" customWidth="1"/>
    <col min="7" max="7" width="9.28515625" bestFit="1" customWidth="1"/>
    <col min="8" max="8" width="15.5703125" bestFit="1" customWidth="1"/>
    <col min="9" max="9" width="10.85546875" bestFit="1" customWidth="1"/>
    <col min="10" max="10" width="9.5703125" customWidth="1"/>
    <col min="11" max="11" width="12.42578125" bestFit="1" customWidth="1"/>
    <col min="12" max="12" width="13.5703125" bestFit="1" customWidth="1"/>
    <col min="13" max="13" width="15.140625" bestFit="1" customWidth="1"/>
    <col min="14" max="14" width="14.5703125" bestFit="1" customWidth="1"/>
    <col min="15" max="15" width="11.42578125" bestFit="1" customWidth="1"/>
    <col min="16" max="16" width="15.140625" bestFit="1" customWidth="1"/>
    <col min="17" max="17" width="13.85546875" bestFit="1" customWidth="1"/>
    <col min="18" max="18" width="11.42578125" bestFit="1" customWidth="1"/>
    <col min="20" max="20" width="11.42578125" bestFit="1" customWidth="1"/>
    <col min="21" max="21" width="15.5703125" bestFit="1" customWidth="1"/>
    <col min="22" max="22" width="10" bestFit="1" customWidth="1"/>
    <col min="23" max="24" width="11.42578125" bestFit="1" customWidth="1"/>
    <col min="25" max="25" width="8.42578125" bestFit="1" customWidth="1"/>
    <col min="26" max="26" width="12.42578125" bestFit="1" customWidth="1"/>
    <col min="27" max="27" width="16.140625" customWidth="1"/>
    <col min="28" max="28" width="15.5703125" bestFit="1" customWidth="1"/>
    <col min="29" max="29" width="11.42578125" customWidth="1"/>
    <col min="30" max="30" width="9" bestFit="1" customWidth="1"/>
  </cols>
  <sheetData>
    <row r="1" spans="1:31" ht="18.75" x14ac:dyDescent="0.3">
      <c r="A1" s="66" t="s">
        <v>177</v>
      </c>
    </row>
    <row r="2" spans="1:31" ht="18.75" x14ac:dyDescent="0.3">
      <c r="A2" s="66" t="s">
        <v>178</v>
      </c>
    </row>
    <row r="3" spans="1:31" ht="18.75" x14ac:dyDescent="0.3">
      <c r="A3" s="66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91</v>
      </c>
      <c r="C7" s="6"/>
      <c r="D7" s="7">
        <v>45855</v>
      </c>
      <c r="E7" s="8" t="s">
        <v>19</v>
      </c>
      <c r="F7" s="9">
        <v>10450</v>
      </c>
      <c r="G7" s="9">
        <v>462.02</v>
      </c>
      <c r="H7" s="9">
        <f>Table242830891013141516171819[[#This Row],[Purchase QTY]]*Table242830891013141516171819[[#This Row],[PPPU]]</f>
        <v>4828109</v>
      </c>
      <c r="I7" s="9"/>
      <c r="J7" s="9"/>
      <c r="K7" s="9"/>
      <c r="L7" s="9"/>
      <c r="M7" s="9">
        <f>Table242830891013141516171819[[#This Row],[Total Purchase Amount]]</f>
        <v>4828109</v>
      </c>
      <c r="N7" s="9">
        <f>IF(Table242830891013141516171819[[#This Row],[Txn Type]]="opening",Table242830891013141516171819[[#This Row],[Purchase QTY]],"Error")</f>
        <v>10450</v>
      </c>
      <c r="O7" s="42">
        <f>IFERROR(Table242830891013141516171819[[#This Row],[TC AP NFRS]]/Table242830891013141516171819[[#This Row],[Unit Sum]],0)</f>
        <v>462.02</v>
      </c>
      <c r="P7" s="10">
        <f>Table242830891013141516171819[[#This Row],[Sales Amt]]-Table242830891013141516171819[[#This Row],[Principal Cost As per  NFRS (In case of Sales)]]</f>
        <v>0</v>
      </c>
      <c r="R7" s="17"/>
      <c r="S7" s="17"/>
      <c r="T7" s="20">
        <f>R7+S7</f>
        <v>0</v>
      </c>
      <c r="U7" s="20">
        <f>AB7</f>
        <v>5386975</v>
      </c>
      <c r="V7" s="20"/>
      <c r="W7" s="20"/>
      <c r="X7" s="20"/>
      <c r="Y7" s="46"/>
      <c r="Z7" s="46"/>
      <c r="AA7" s="46"/>
      <c r="AB7" s="46">
        <f>F7*AC7</f>
        <v>5386975</v>
      </c>
      <c r="AC7" s="46">
        <v>515.5</v>
      </c>
      <c r="AD7" s="56"/>
    </row>
    <row r="8" spans="1:31" x14ac:dyDescent="0.25">
      <c r="A8" s="5">
        <f>A7+1</f>
        <v>2</v>
      </c>
      <c r="B8" s="6" t="s">
        <v>91</v>
      </c>
      <c r="C8" s="6" t="s">
        <v>92</v>
      </c>
      <c r="D8" s="7">
        <v>45858</v>
      </c>
      <c r="E8" s="8" t="s">
        <v>55</v>
      </c>
      <c r="F8" s="9">
        <v>1000</v>
      </c>
      <c r="G8" s="9">
        <f>Table242830891013141516171819[[#This Row],[Total Purchase Amount]]/Table242830891013141516171819[[#This Row],[Purchase QTY]]</f>
        <v>478</v>
      </c>
      <c r="H8" s="9">
        <v>478000</v>
      </c>
      <c r="I8" s="9">
        <v>0</v>
      </c>
      <c r="J8" s="9" t="e">
        <f>Table242830891013141516171819[[#This Row],[Sales Amt]]/Table242830891013141516171819[[#This Row],[Sales Qty]]</f>
        <v>#DIV/0!</v>
      </c>
      <c r="K8" s="9">
        <v>0</v>
      </c>
      <c r="L8" s="9">
        <f>Table242830891013141516171819[[#This Row],[Sales Qty]]*O7</f>
        <v>0</v>
      </c>
      <c r="M8" s="9">
        <f>M7+Table242830891013141516171819[[#This Row],[Total Purchase Amount]]-Table242830891013141516171819[[#This Row],[Principal Cost As per  NFRS (In case of Sales)]]</f>
        <v>5306109</v>
      </c>
      <c r="N8" s="9">
        <f>N7+Table242830891013141516171819[[#This Row],[Purchase QTY]]-Table242830891013141516171819[[#This Row],[Sales Qty]]</f>
        <v>11450</v>
      </c>
      <c r="O8" s="42">
        <f>IFERROR(Table242830891013141516171819[[#This Row],[TC AP NFRS]]/Table242830891013141516171819[[#This Row],[Unit Sum]],0)</f>
        <v>463.41563318777293</v>
      </c>
      <c r="P8" s="10">
        <f>Table242830891013141516171819[[#This Row],[Sales Amt]]-Table242830891013141516171819[[#This Row],[Principal Cost As per  NFRS (In case of Sales)]]</f>
        <v>0</v>
      </c>
      <c r="R8" s="17">
        <f>71.7+1596.76</f>
        <v>1668.46</v>
      </c>
      <c r="S8" s="17">
        <v>25</v>
      </c>
      <c r="T8" s="20">
        <f>R8+S8</f>
        <v>1693.46</v>
      </c>
      <c r="U8" s="20">
        <f>H8+T8</f>
        <v>479693.46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5866668.46</v>
      </c>
      <c r="AC8" s="20">
        <f>IFERROR(AB8/N8,0)</f>
        <v>512.37279126637554</v>
      </c>
      <c r="AD8" s="56">
        <f>Z8-AA8+Y8</f>
        <v>0</v>
      </c>
    </row>
    <row r="9" spans="1:31" x14ac:dyDescent="0.25">
      <c r="A9" s="5">
        <f t="shared" ref="A9:A16" si="0">A8+1</f>
        <v>3</v>
      </c>
      <c r="B9" s="6" t="s">
        <v>91</v>
      </c>
      <c r="C9" s="6" t="s">
        <v>144</v>
      </c>
      <c r="D9" s="7">
        <v>45867</v>
      </c>
      <c r="E9" s="8" t="s">
        <v>55</v>
      </c>
      <c r="F9" s="9">
        <v>996</v>
      </c>
      <c r="G9" s="9">
        <f>IF(Table242830891013141516171819[[#This Row],[SPPU]]&gt;0,0,Table242830891013141516171819[[#This Row],[Total Purchase Amount]]/Table242830891013141516171819[[#This Row],[Purchase QTY]])</f>
        <v>485</v>
      </c>
      <c r="H9" s="9">
        <v>483060</v>
      </c>
      <c r="I9" s="9">
        <v>0</v>
      </c>
      <c r="J9" s="9">
        <f>IFERROR(Table242830891013141516171819[[#This Row],[Sales Amt]]/Table242830891013141516171819[[#This Row],[Sales Qty]],0)</f>
        <v>0</v>
      </c>
      <c r="K9" s="9">
        <v>0</v>
      </c>
      <c r="L9" s="9">
        <f>Table242830891013141516171819[[#This Row],[Sales Qty]]*O8</f>
        <v>0</v>
      </c>
      <c r="M9" s="9">
        <f>M8+Table242830891013141516171819[[#This Row],[Total Purchase Amount]]-Table242830891013141516171819[[#This Row],[Principal Cost As per  NFRS (In case of Sales)]]</f>
        <v>5789169</v>
      </c>
      <c r="N9" s="9">
        <f>N8+Table242830891013141516171819[[#This Row],[Purchase QTY]]-Table242830891013141516171819[[#This Row],[Sales Qty]]</f>
        <v>12446</v>
      </c>
      <c r="O9" s="42">
        <f>IFERROR(Table242830891013141516171819[[#This Row],[TC AP NFRS]]/Table242830891013141516171819[[#This Row],[Unit Sum]],0)</f>
        <v>465.14293748995664</v>
      </c>
      <c r="P9" s="10">
        <f>Table242830891013141516171819[[#This Row],[Sales Amt]]-Table242830891013141516171819[[#This Row],[Principal Cost As per  NFRS (In case of Sales)]]</f>
        <v>0</v>
      </c>
      <c r="R9" s="17">
        <f>72.41+1635.68</f>
        <v>1708.0900000000001</v>
      </c>
      <c r="S9" s="17">
        <v>25</v>
      </c>
      <c r="T9" s="20">
        <f t="shared" ref="T9:T16" si="1">R9+S9</f>
        <v>1733.0900000000001</v>
      </c>
      <c r="U9" s="20">
        <f t="shared" ref="U9:U16" si="2">H9+T9</f>
        <v>484793.09</v>
      </c>
      <c r="V9" s="20">
        <v>0</v>
      </c>
      <c r="W9" s="20">
        <v>0</v>
      </c>
      <c r="X9" s="55">
        <f t="shared" ref="X9:X16" si="3">V9+W9</f>
        <v>0</v>
      </c>
      <c r="Y9" s="20">
        <v>0</v>
      </c>
      <c r="Z9" s="20">
        <f t="shared" ref="Z9:Z16" si="4">K9-X9-Y9</f>
        <v>0</v>
      </c>
      <c r="AA9" s="20">
        <f t="shared" ref="AA9:AA16" si="5">I9*AC8</f>
        <v>0</v>
      </c>
      <c r="AB9" s="20">
        <f t="shared" ref="AB9:AB16" si="6">AB8+U9-AA9</f>
        <v>6351461.5499999998</v>
      </c>
      <c r="AC9" s="20">
        <f t="shared" ref="AC9:AC17" si="7">IFERROR(AB9/N9,0)</f>
        <v>510.32151293588299</v>
      </c>
      <c r="AD9" s="56">
        <f t="shared" ref="AD9:AD16" si="8">Z9-AA9+Y9</f>
        <v>0</v>
      </c>
    </row>
    <row r="10" spans="1:3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IF(Table242830891013141516171819[[#This Row],[SPPU]]&gt;=0,0,Table242830891013141516171819[[#This Row],[Total Purchase Amount]]/Table242830891013141516171819[[#This Row],[Purchase QTY]])</f>
        <v>0</v>
      </c>
      <c r="H10" s="9"/>
      <c r="I10" s="9">
        <v>0</v>
      </c>
      <c r="J10" s="9">
        <v>0</v>
      </c>
      <c r="K10" s="9">
        <f>Table242830891013141516171819[[#This Row],[Sales Qty]]*Table242830891013141516171819[[#This Row],[SPPU]]</f>
        <v>0</v>
      </c>
      <c r="L10" s="9">
        <f>Table242830891013141516171819[[#This Row],[Sales Qty]]*O9</f>
        <v>0</v>
      </c>
      <c r="M10" s="9">
        <f>M9+Table242830891013141516171819[[#This Row],[Total Purchase Amount]]-Table242830891013141516171819[[#This Row],[Principal Cost As per  NFRS (In case of Sales)]]</f>
        <v>5789169</v>
      </c>
      <c r="N10" s="9">
        <f>N9+Table242830891013141516171819[[#This Row],[Purchase QTY]]-Table242830891013141516171819[[#This Row],[Sales Qty]]</f>
        <v>12446</v>
      </c>
      <c r="O10" s="42">
        <f>IFERROR(Table242830891013141516171819[[#This Row],[TC AP NFRS]]/Table242830891013141516171819[[#This Row],[Unit Sum]],0)</f>
        <v>465.14293748995664</v>
      </c>
      <c r="P10" s="10">
        <f>Table242830891013141516171819[[#This Row],[Sales Amt]]-Table242830891013141516171819[[#This Row],[Principal Cost As per  NFRS (In case of Sales)]]</f>
        <v>0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v>0</v>
      </c>
      <c r="W10" s="20">
        <v>0</v>
      </c>
      <c r="X10" s="55">
        <f t="shared" si="3"/>
        <v>0</v>
      </c>
      <c r="Y10" s="20">
        <v>0</v>
      </c>
      <c r="Z10" s="20">
        <f t="shared" si="4"/>
        <v>0</v>
      </c>
      <c r="AA10" s="20">
        <f t="shared" si="5"/>
        <v>0</v>
      </c>
      <c r="AB10" s="20">
        <f t="shared" si="6"/>
        <v>6351461.5499999998</v>
      </c>
      <c r="AC10" s="20">
        <f t="shared" si="7"/>
        <v>510.32151293588299</v>
      </c>
      <c r="AD10" s="56">
        <f t="shared" si="8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IF(Table242830891013141516171819[[#This Row],[SPPU]]&gt;=0,0,Table242830891013141516171819[[#This Row],[Total Purchase Amount]]/Table242830891013141516171819[[#This Row],[Purchase QTY]])</f>
        <v>#DIV/0!</v>
      </c>
      <c r="H11" s="9"/>
      <c r="I11" s="9">
        <v>0</v>
      </c>
      <c r="J11" s="9" t="e">
        <f>Table242830891013141516171819[[#This Row],[Sales Amt]]/Table242830891013141516171819[[#This Row],[Sales Qty]]</f>
        <v>#DIV/0!</v>
      </c>
      <c r="K11" s="9">
        <v>0</v>
      </c>
      <c r="L11" s="9">
        <f>Table242830891013141516171819[[#This Row],[Sales Qty]]*O10</f>
        <v>0</v>
      </c>
      <c r="M11" s="9">
        <f>M10+Table242830891013141516171819[[#This Row],[Total Purchase Amount]]-Table242830891013141516171819[[#This Row],[Principal Cost As per  NFRS (In case of Sales)]]</f>
        <v>5789169</v>
      </c>
      <c r="N11" s="9">
        <f>N10+Table242830891013141516171819[[#This Row],[Purchase QTY]]-Table242830891013141516171819[[#This Row],[Sales Qty]]</f>
        <v>12446</v>
      </c>
      <c r="O11" s="42">
        <f>IFERROR(Table242830891013141516171819[[#This Row],[TC AP NFRS]]/Table242830891013141516171819[[#This Row],[Unit Sum]],0)</f>
        <v>465.14293748995664</v>
      </c>
      <c r="P11" s="10">
        <f>Table242830891013141516171819[[#This Row],[Sales Amt]]-Table242830891013141516171819[[#This Row],[Principal Cost As per  NFRS (In case of Sales)]]</f>
        <v>0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v>0</v>
      </c>
      <c r="W11" s="20">
        <v>0</v>
      </c>
      <c r="X11" s="55">
        <f t="shared" si="3"/>
        <v>0</v>
      </c>
      <c r="Y11" s="20">
        <v>0</v>
      </c>
      <c r="Z11" s="20">
        <f t="shared" si="4"/>
        <v>0</v>
      </c>
      <c r="AA11" s="20">
        <f t="shared" si="5"/>
        <v>0</v>
      </c>
      <c r="AB11" s="20">
        <f t="shared" si="6"/>
        <v>6351461.5499999998</v>
      </c>
      <c r="AC11" s="20">
        <f t="shared" si="7"/>
        <v>510.32151293588299</v>
      </c>
      <c r="AD11" s="56">
        <f t="shared" si="8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Table242830891013141516171819[[#This Row],[Total Purchase Amount]]/Table242830891013141516171819[[#This Row],[Purchase QTY]]</f>
        <v>#DIV/0!</v>
      </c>
      <c r="H12" s="9">
        <v>0</v>
      </c>
      <c r="I12" s="9">
        <v>0</v>
      </c>
      <c r="J12" s="9">
        <f ca="1">IFERROR(Table242830891013141516171819[[#This Row],[Sales Amt]]/Table242830891013141516171819[[#This Row],[Sales Qty]],0)</f>
        <v>0</v>
      </c>
      <c r="K12" s="9">
        <f ca="1">Table242830891013141516171819[[#This Row],[Sales Qty]]*Table242830891013141516171819[[#This Row],[SPPU]]</f>
        <v>0</v>
      </c>
      <c r="L12" s="9">
        <f>Table242830891013141516171819[[#This Row],[Sales Qty]]*O11</f>
        <v>0</v>
      </c>
      <c r="M12" s="9">
        <f>M11+Table242830891013141516171819[[#This Row],[Total Purchase Amount]]-Table242830891013141516171819[[#This Row],[Principal Cost As per  NFRS (In case of Sales)]]</f>
        <v>5789169</v>
      </c>
      <c r="N12" s="9">
        <f>N11+Table242830891013141516171819[[#This Row],[Purchase QTY]]-Table242830891013141516171819[[#This Row],[Sales Qty]]</f>
        <v>12446</v>
      </c>
      <c r="O12" s="42">
        <f>IFERROR(Table242830891013141516171819[[#This Row],[TC AP NFRS]]/Table242830891013141516171819[[#This Row],[Unit Sum]],0)</f>
        <v>465.14293748995664</v>
      </c>
      <c r="P12" s="10">
        <f ca="1">Table242830891013141516171819[[#This Row],[Sales Amt]]-Table242830891013141516171819[[#This Row],[Principal Cost As per  NFRS (In case of Sales)]]</f>
        <v>0</v>
      </c>
      <c r="R12" s="17">
        <v>0</v>
      </c>
      <c r="S12" s="17"/>
      <c r="T12" s="20">
        <f t="shared" si="1"/>
        <v>0</v>
      </c>
      <c r="U12" s="20">
        <f t="shared" si="2"/>
        <v>0</v>
      </c>
      <c r="V12" s="20">
        <v>0</v>
      </c>
      <c r="W12" s="20">
        <v>0</v>
      </c>
      <c r="X12" s="55">
        <f t="shared" si="3"/>
        <v>0</v>
      </c>
      <c r="Y12" s="20">
        <v>0</v>
      </c>
      <c r="Z12" s="20">
        <f t="shared" ca="1" si="4"/>
        <v>0</v>
      </c>
      <c r="AA12" s="20">
        <f t="shared" si="5"/>
        <v>0</v>
      </c>
      <c r="AB12" s="20">
        <f t="shared" si="6"/>
        <v>6351461.5499999998</v>
      </c>
      <c r="AC12" s="20">
        <f t="shared" si="7"/>
        <v>510.32151293588299</v>
      </c>
      <c r="AD12" s="56">
        <f t="shared" ca="1" si="8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Table242830891013141516171819[[#This Row],[Total Purchase Amount]]/Table242830891013141516171819[[#This Row],[Purchase QTY]]</f>
        <v>#DIV/0!</v>
      </c>
      <c r="H13" s="9">
        <v>0</v>
      </c>
      <c r="I13" s="9">
        <v>0</v>
      </c>
      <c r="J13" s="9">
        <f ca="1">IFERROR(Table242830891013141516171819[[#This Row],[Sales Amt]]/Table242830891013141516171819[[#This Row],[Sales Qty]],0)</f>
        <v>0</v>
      </c>
      <c r="K13" s="9">
        <f ca="1">Table242830891013141516171819[[#This Row],[Sales Qty]]*Table242830891013141516171819[[#This Row],[SPPU]]</f>
        <v>0</v>
      </c>
      <c r="L13" s="9">
        <f>Table242830891013141516171819[[#This Row],[Sales Qty]]*O12</f>
        <v>0</v>
      </c>
      <c r="M13" s="9">
        <f>M12+Table242830891013141516171819[[#This Row],[Total Purchase Amount]]-Table242830891013141516171819[[#This Row],[Principal Cost As per  NFRS (In case of Sales)]]</f>
        <v>5789169</v>
      </c>
      <c r="N13" s="9">
        <f>N12+Table242830891013141516171819[[#This Row],[Purchase QTY]]-Table242830891013141516171819[[#This Row],[Sales Qty]]</f>
        <v>12446</v>
      </c>
      <c r="O13" s="42">
        <f>IFERROR(Table242830891013141516171819[[#This Row],[TC AP NFRS]]/Table242830891013141516171819[[#This Row],[Unit Sum]],0)</f>
        <v>465.14293748995664</v>
      </c>
      <c r="P13" s="10">
        <f ca="1">Table242830891013141516171819[[#This Row],[Sales Amt]]-Table242830891013141516171819[[#This Row],[Principal Cost As per  NFRS (In case of Sales)]]</f>
        <v>0</v>
      </c>
      <c r="R13" s="17">
        <v>0</v>
      </c>
      <c r="S13" s="17"/>
      <c r="T13" s="20">
        <f t="shared" si="1"/>
        <v>0</v>
      </c>
      <c r="U13" s="20">
        <f t="shared" si="2"/>
        <v>0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ca="1" si="4"/>
        <v>0</v>
      </c>
      <c r="AA13" s="20">
        <f t="shared" si="5"/>
        <v>0</v>
      </c>
      <c r="AB13" s="20">
        <f t="shared" si="6"/>
        <v>6351461.5499999998</v>
      </c>
      <c r="AC13" s="20">
        <f t="shared" si="7"/>
        <v>510.32151293588299</v>
      </c>
      <c r="AD13" s="56">
        <f t="shared" ca="1" si="8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IF(Table242830891013141516171819[[#This Row],[SPPU]]&gt;=0,0,Table242830891013141516171819[[#This Row],[Total Purchase Amount]]/Table242830891013141516171819[[#This Row],[Purchase QTY]])</f>
        <v>0</v>
      </c>
      <c r="H14" s="9"/>
      <c r="I14" s="9">
        <v>0</v>
      </c>
      <c r="J14" s="9">
        <f>IFERROR(Table242830891013141516171819[[#This Row],[Sales Amt]]/Table242830891013141516171819[[#This Row],[Sales Qty]],0)</f>
        <v>0</v>
      </c>
      <c r="K14" s="9">
        <v>0</v>
      </c>
      <c r="L14" s="9">
        <f>Table242830891013141516171819[[#This Row],[Sales Qty]]*O12</f>
        <v>0</v>
      </c>
      <c r="M14" s="9">
        <f>M13+Table242830891013141516171819[[#This Row],[Total Purchase Amount]]-Table242830891013141516171819[[#This Row],[Principal Cost As per  NFRS (In case of Sales)]]</f>
        <v>5789169</v>
      </c>
      <c r="N14" s="9">
        <f>N13+Table242830891013141516171819[[#This Row],[Purchase QTY]]-Table242830891013141516171819[[#This Row],[Sales Qty]]</f>
        <v>12446</v>
      </c>
      <c r="O14" s="42">
        <f>IFERROR(Table242830891013141516171819[[#This Row],[TC AP NFRS]]/Table242830891013141516171819[[#This Row],[Unit Sum]],0)</f>
        <v>465.14293748995664</v>
      </c>
      <c r="P14" s="10">
        <f>Table242830891013141516171819[[#This Row],[Sales Amt]]-Table242830891013141516171819[[#This Row],[Principal Cost As per  NFRS (In case of Sales)]]</f>
        <v>0</v>
      </c>
      <c r="R14" s="17">
        <v>0</v>
      </c>
      <c r="S14" s="17"/>
      <c r="T14" s="20">
        <f t="shared" si="1"/>
        <v>0</v>
      </c>
      <c r="U14" s="20">
        <f t="shared" si="2"/>
        <v>0</v>
      </c>
      <c r="V14" s="20">
        <v>0</v>
      </c>
      <c r="W14" s="20">
        <v>0</v>
      </c>
      <c r="X14" s="55">
        <f t="shared" si="3"/>
        <v>0</v>
      </c>
      <c r="Y14" s="20">
        <v>0</v>
      </c>
      <c r="Z14" s="20">
        <f t="shared" si="4"/>
        <v>0</v>
      </c>
      <c r="AA14" s="20">
        <f t="shared" si="5"/>
        <v>0</v>
      </c>
      <c r="AB14" s="20">
        <f t="shared" si="6"/>
        <v>6351461.5499999998</v>
      </c>
      <c r="AC14" s="20">
        <f t="shared" si="7"/>
        <v>510.32151293588299</v>
      </c>
      <c r="AD14" s="56">
        <f t="shared" si="8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IF(Table242830891013141516171819[[#This Row],[SPPU]]&gt;=0,0,Table242830891013141516171819[[#This Row],[Total Purchase Amount]]/Table242830891013141516171819[[#This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Table242830891013141516171819[[#This Row],[Sales Qty]]*O14</f>
        <v>0</v>
      </c>
      <c r="M15" s="9">
        <f>M14+Table242830891013141516171819[[#This Row],[Total Purchase Amount]]-Table242830891013141516171819[[#This Row],[Principal Cost As per  NFRS (In case of Sales)]]</f>
        <v>5789169</v>
      </c>
      <c r="N15" s="9">
        <f>N14+Table242830891013141516171819[[#This Row],[Purchase QTY]]-Table242830891013141516171819[[#This Row],[Sales Qty]]</f>
        <v>12446</v>
      </c>
      <c r="O15" s="42">
        <f>IFERROR(Table242830891013141516171819[[#This Row],[TC AP NFRS]]/Table242830891013141516171819[[#This Row],[Unit Sum]],0)</f>
        <v>465.14293748995664</v>
      </c>
      <c r="P15" s="10">
        <f>Table242830891013141516171819[[#This Row],[Sales Amt]]-Table242830891013141516171819[[#This Row],[Principal Cost As per  NFRS (In case of Sales)]]</f>
        <v>0</v>
      </c>
      <c r="R15" s="17">
        <v>0</v>
      </c>
      <c r="S15" s="17"/>
      <c r="T15" s="20">
        <f t="shared" si="1"/>
        <v>0</v>
      </c>
      <c r="U15" s="20">
        <f t="shared" si="2"/>
        <v>0</v>
      </c>
      <c r="V15" s="20">
        <v>0</v>
      </c>
      <c r="W15" s="20">
        <v>0</v>
      </c>
      <c r="X15" s="55">
        <f t="shared" si="3"/>
        <v>0</v>
      </c>
      <c r="Y15" s="20">
        <v>0</v>
      </c>
      <c r="Z15" s="20">
        <f t="shared" si="4"/>
        <v>0</v>
      </c>
      <c r="AA15" s="20">
        <f t="shared" si="5"/>
        <v>0</v>
      </c>
      <c r="AB15" s="20">
        <f t="shared" si="6"/>
        <v>6351461.5499999998</v>
      </c>
      <c r="AC15" s="20">
        <f t="shared" si="7"/>
        <v>510.32151293588299</v>
      </c>
      <c r="AD15" s="56">
        <f t="shared" si="8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IF(Table242830891013141516171819[[#This Row],[SPPU]]&gt;=0,0,Table242830891013141516171819[[#This Row],[Total Purchase Amount]]/Table242830891013141516171819[[#This Row],[Purchase QTY]])</f>
        <v>#DIV/0!</v>
      </c>
      <c r="H16" s="9"/>
      <c r="I16" s="9">
        <v>0</v>
      </c>
      <c r="J16" s="9" t="e">
        <f>Table242830891013141516171819[[#This Row],[Sales Amt]]/Table242830891013141516171819[[#This Row],[Sales Qty]]</f>
        <v>#DIV/0!</v>
      </c>
      <c r="K16" s="9">
        <v>0</v>
      </c>
      <c r="L16" s="9">
        <f>Table242830891013141516171819[[#This Row],[Sales Qty]]*O15</f>
        <v>0</v>
      </c>
      <c r="M16" s="9">
        <f>M15+Table242830891013141516171819[[#This Row],[Total Purchase Amount]]-Table242830891013141516171819[[#This Row],[Principal Cost As per  NFRS (In case of Sales)]]</f>
        <v>5789169</v>
      </c>
      <c r="N16" s="9">
        <f>N15+Table242830891013141516171819[[#This Row],[Purchase QTY]]-Table242830891013141516171819[[#This Row],[Sales Qty]]</f>
        <v>12446</v>
      </c>
      <c r="O16" s="42">
        <f>IFERROR(Table242830891013141516171819[[#This Row],[TC AP NFRS]]/Table242830891013141516171819[[#This Row],[Unit Sum]],0)</f>
        <v>465.14293748995664</v>
      </c>
      <c r="P16" s="10">
        <f>Table242830891013141516171819[[#This Row],[Sales Amt]]-Table242830891013141516171819[[#This Row],[Principal Cost As per  NFRS (In case of Sales)]]</f>
        <v>0</v>
      </c>
      <c r="R16" s="17">
        <v>0</v>
      </c>
      <c r="S16" s="17"/>
      <c r="T16" s="20">
        <f t="shared" si="1"/>
        <v>0</v>
      </c>
      <c r="U16" s="20">
        <f t="shared" si="2"/>
        <v>0</v>
      </c>
      <c r="V16" s="20">
        <v>0</v>
      </c>
      <c r="W16" s="20">
        <v>0</v>
      </c>
      <c r="X16" s="55">
        <f t="shared" si="3"/>
        <v>0</v>
      </c>
      <c r="Y16" s="20">
        <v>0</v>
      </c>
      <c r="Z16" s="20">
        <f t="shared" si="4"/>
        <v>0</v>
      </c>
      <c r="AA16" s="20">
        <f t="shared" si="5"/>
        <v>0</v>
      </c>
      <c r="AB16" s="20">
        <f t="shared" si="6"/>
        <v>6351461.5499999998</v>
      </c>
      <c r="AC16" s="20">
        <f t="shared" si="7"/>
        <v>510.32151293588299</v>
      </c>
      <c r="AD16" s="56">
        <f t="shared" si="8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12446</v>
      </c>
      <c r="G17" s="15"/>
      <c r="H17" s="15">
        <f ca="1">SUM(INDIRECT("h4:h"&amp;ROW()-1))</f>
        <v>5789169</v>
      </c>
      <c r="I17" s="15">
        <f ca="1">SUM(INDIRECT("i4:i"&amp;ROW()-1))</f>
        <v>0</v>
      </c>
      <c r="J17" s="15" t="e">
        <f ca="1">Table242830891013141516171819[[#This Row],[Sales Amt]]/Table242830891013141516171819[[#This Row],[Sales Qty]]</f>
        <v>#DIV/0!</v>
      </c>
      <c r="K17" s="15">
        <f>SUM(K7:K10)</f>
        <v>0</v>
      </c>
      <c r="L17" s="15"/>
      <c r="M17" s="15">
        <f ca="1">Table242830891013141516171819[[#This Row],[Total Purchase Amount]]-Table242830891013141516171819[[#This Row],[Principal Cost As per  NFRS (In case of Sales)]]</f>
        <v>5789169</v>
      </c>
      <c r="N17" s="15">
        <f ca="1">Table242830891013141516171819[[#This Row],[Purchase QTY]]-Table242830891013141516171819[[#This Row],[Sales Qty]]</f>
        <v>12446</v>
      </c>
      <c r="O17" s="43">
        <f ca="1">Table242830891013141516171819[[#This Row],[TC AP NFRS]]/Table242830891013141516171819[[#This Row],[Unit Sum]]</f>
        <v>465.14293748995664</v>
      </c>
      <c r="P17" s="15"/>
      <c r="R17" s="24">
        <f>SUM(R7:R16)</f>
        <v>3376.55</v>
      </c>
      <c r="S17" s="24">
        <f t="shared" ref="S17:AD17" si="9">SUM(S7:S16)</f>
        <v>50</v>
      </c>
      <c r="T17" s="24">
        <f>SUM(T7:T16)</f>
        <v>3426.55</v>
      </c>
      <c r="U17" s="24">
        <f>SUM(U7:U16)</f>
        <v>6351461.5499999998</v>
      </c>
      <c r="V17" s="24">
        <f t="shared" si="9"/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t="shared" ca="1" si="9"/>
        <v>0</v>
      </c>
      <c r="AA17" s="24">
        <f t="shared" si="9"/>
        <v>0</v>
      </c>
      <c r="AB17" s="24">
        <f>U17-AA17</f>
        <v>6351461.5499999998</v>
      </c>
      <c r="AC17" s="24">
        <f t="shared" ca="1" si="7"/>
        <v>510.32151293588299</v>
      </c>
      <c r="AD17" s="24">
        <f t="shared" ca="1" si="9"/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91</v>
      </c>
      <c r="C21" s="97"/>
      <c r="D21" s="98">
        <v>45886</v>
      </c>
      <c r="E21" s="99" t="s">
        <v>19</v>
      </c>
      <c r="F21" s="59">
        <v>12446</v>
      </c>
      <c r="G21" s="59"/>
      <c r="H21" s="59">
        <v>5789169</v>
      </c>
      <c r="I21" s="59"/>
      <c r="J21" s="59"/>
      <c r="K21" s="59"/>
      <c r="L21" s="59"/>
      <c r="M21" s="59">
        <v>5789169</v>
      </c>
      <c r="N21" s="59">
        <v>12446</v>
      </c>
      <c r="O21" s="59">
        <v>465.14293748995664</v>
      </c>
      <c r="P21" s="59"/>
      <c r="Q21" s="59"/>
      <c r="R21" s="59">
        <v>3376.55</v>
      </c>
      <c r="S21" s="59">
        <v>50</v>
      </c>
      <c r="T21" s="59">
        <v>3426.55</v>
      </c>
      <c r="U21" s="59">
        <v>6351461.5499999998</v>
      </c>
      <c r="V21" s="59"/>
      <c r="W21" s="59"/>
      <c r="X21" s="59"/>
      <c r="Y21" s="59"/>
      <c r="Z21" s="59"/>
      <c r="AA21" s="59"/>
      <c r="AB21" s="59">
        <v>6351461.5499999998</v>
      </c>
      <c r="AC21" s="59">
        <v>510.32151293588299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053D4F-1974-4D4D-9115-CDB6F7D844FD}">
          <x14:formula1>
            <xm:f>VALIDATION!$A$2:$A$7</xm:f>
          </x14:formula1>
          <xm:sqref>E7:E16 E21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33A3-D497-47C6-AE29-01386BAE0BE0}">
  <sheetPr>
    <pageSetUpPr fitToPage="1"/>
  </sheetPr>
  <dimension ref="A1:AE21"/>
  <sheetViews>
    <sheetView topLeftCell="A7" zoomScaleNormal="100" workbookViewId="0">
      <selection activeCell="AD19" sqref="A19:AD20"/>
    </sheetView>
  </sheetViews>
  <sheetFormatPr defaultRowHeight="15" x14ac:dyDescent="0.25"/>
  <cols>
    <col min="1" max="1" width="5.42578125" customWidth="1"/>
    <col min="2" max="2" width="8.140625" bestFit="1" customWidth="1"/>
    <col min="3" max="3" width="18" bestFit="1" customWidth="1"/>
    <col min="4" max="4" width="10.28515625" bestFit="1" customWidth="1"/>
    <col min="6" max="6" width="11.42578125" bestFit="1" customWidth="1"/>
    <col min="7" max="7" width="9.28515625" bestFit="1" customWidth="1"/>
    <col min="8" max="8" width="15.5703125" bestFit="1" customWidth="1"/>
    <col min="9" max="9" width="10.85546875" bestFit="1" customWidth="1"/>
    <col min="10" max="10" width="9.140625" bestFit="1" customWidth="1"/>
    <col min="11" max="11" width="15.42578125" bestFit="1" customWidth="1"/>
    <col min="12" max="12" width="15.140625" bestFit="1" customWidth="1"/>
    <col min="13" max="13" width="13.42578125" bestFit="1" customWidth="1"/>
    <col min="14" max="14" width="11" bestFit="1" customWidth="1"/>
    <col min="15" max="15" width="11.42578125" bestFit="1" customWidth="1"/>
    <col min="16" max="16" width="13" bestFit="1" customWidth="1"/>
    <col min="17" max="17" width="6.42578125" customWidth="1"/>
    <col min="18" max="18" width="11.42578125" bestFit="1" customWidth="1"/>
    <col min="20" max="20" width="11.42578125" bestFit="1" customWidth="1"/>
    <col min="21" max="21" width="15.5703125" bestFit="1" customWidth="1"/>
    <col min="22" max="22" width="12.85546875" bestFit="1" customWidth="1"/>
    <col min="23" max="23" width="11.42578125" bestFit="1" customWidth="1"/>
    <col min="24" max="24" width="12.5703125" bestFit="1" customWidth="1"/>
    <col min="25" max="25" width="8.425781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60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89</v>
      </c>
      <c r="C7" s="6"/>
      <c r="D7" s="7">
        <v>45855</v>
      </c>
      <c r="E7" s="8" t="s">
        <v>19</v>
      </c>
      <c r="F7" s="9">
        <v>6013</v>
      </c>
      <c r="G7" s="9">
        <v>571.55999999999995</v>
      </c>
      <c r="H7" s="9">
        <f>Table2428308910131415161718[[#This Row],[Purchase QTY]]*Table2428308910131415161718[[#This Row],[PPPU]]</f>
        <v>3436790.28</v>
      </c>
      <c r="I7" s="9"/>
      <c r="J7" s="9"/>
      <c r="K7" s="9"/>
      <c r="L7" s="9"/>
      <c r="M7" s="9">
        <f>Table2428308910131415161718[[#This Row],[Total Purchase Amount]]</f>
        <v>3436790.28</v>
      </c>
      <c r="N7" s="9">
        <f>IF(Table2428308910131415161718[[#This Row],[Txn Type]]="opening",Table2428308910131415161718[[#This Row],[Purchase QTY]],"Error")</f>
        <v>6013</v>
      </c>
      <c r="O7" s="42">
        <f>IFERROR(Table2428308910131415161718[[#This Row],[TC AP NFRS]]/Table2428308910131415161718[[#This Row],[Unit Sum]],0)</f>
        <v>571.55999999999995</v>
      </c>
      <c r="P7" s="10">
        <f>Table2428308910131415161718[[#This Row],[Sales Amt]]-Table2428308910131415161718[[#This Row],[Principal Cost As per  NFRS (In case of Sales)]]</f>
        <v>0</v>
      </c>
      <c r="R7" s="17"/>
      <c r="S7" s="17"/>
      <c r="T7" s="20">
        <f>R7+S7</f>
        <v>0</v>
      </c>
      <c r="U7" s="20">
        <f>AB7</f>
        <v>3859776.4782379903</v>
      </c>
      <c r="V7" s="20"/>
      <c r="W7" s="20"/>
      <c r="X7" s="20"/>
      <c r="Y7" s="46"/>
      <c r="Z7" s="46"/>
      <c r="AA7" s="46"/>
      <c r="AB7" s="46">
        <f>F7*AC7</f>
        <v>3859776.4782379903</v>
      </c>
      <c r="AC7" s="46">
        <v>641.90528492233329</v>
      </c>
      <c r="AD7" s="56"/>
    </row>
    <row r="8" spans="1:31" ht="30" x14ac:dyDescent="0.25">
      <c r="A8" s="5">
        <f>A7+1</f>
        <v>2</v>
      </c>
      <c r="B8" s="6" t="s">
        <v>89</v>
      </c>
      <c r="C8" s="6" t="s">
        <v>90</v>
      </c>
      <c r="D8" s="7">
        <v>45855</v>
      </c>
      <c r="E8" s="8" t="s">
        <v>55</v>
      </c>
      <c r="F8" s="9">
        <v>500</v>
      </c>
      <c r="G8" s="9">
        <f>Table2428308910131415161718[[#This Row],[Total Purchase Amount]]/Table2428308910131415161718[[#This Row],[Purchase QTY]]</f>
        <v>595</v>
      </c>
      <c r="H8" s="9">
        <v>297500</v>
      </c>
      <c r="I8" s="9">
        <v>0</v>
      </c>
      <c r="J8" s="9">
        <f>IFERROR(Table2428308910131415161718[[#This Row],[Sales Amt]]/Table2428308910131415161718[[#This Row],[Sales Qty]],0)</f>
        <v>0</v>
      </c>
      <c r="K8" s="9">
        <v>0</v>
      </c>
      <c r="L8" s="9">
        <f>Table2428308910131415161718[[#This Row],[Sales Qty]]*O7</f>
        <v>0</v>
      </c>
      <c r="M8" s="9">
        <f>M7+Table2428308910131415161718[[#This Row],[Total Purchase Amount]]-Table2428308910131415161718[[#This Row],[Principal Cost As per  NFRS (In case of Sales)]]</f>
        <v>3734290.28</v>
      </c>
      <c r="N8" s="9">
        <f>N7+Table2428308910131415161718[[#This Row],[Purchase QTY]]-Table2428308910131415161718[[#This Row],[Sales Qty]]</f>
        <v>6513</v>
      </c>
      <c r="O8" s="42">
        <f>IFERROR(Table2428308910131415161718[[#This Row],[TC AP NFRS]]/Table2428308910131415161718[[#This Row],[Unit Sum]],0)</f>
        <v>573.35947796714265</v>
      </c>
      <c r="P8" s="10">
        <f>Table2428308910131415161718[[#This Row],[Sales Amt]]-Table2428308910131415161718[[#This Row],[Principal Cost As per  NFRS (In case of Sales)]]</f>
        <v>0</v>
      </c>
      <c r="R8" s="17">
        <f>44.63+981.75</f>
        <v>1026.3800000000001</v>
      </c>
      <c r="S8" s="17">
        <v>25</v>
      </c>
      <c r="T8" s="20">
        <f>R8+S8</f>
        <v>1051.3800000000001</v>
      </c>
      <c r="U8" s="20">
        <f>H8+T8</f>
        <v>298551.38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4158327.8582379902</v>
      </c>
      <c r="AC8" s="20">
        <f>IFERROR(AB8/N8,0)</f>
        <v>638.46581578964992</v>
      </c>
      <c r="AD8" s="58">
        <f>Z8-AA8+Y8</f>
        <v>0</v>
      </c>
    </row>
    <row r="9" spans="1:31" ht="30" x14ac:dyDescent="0.25">
      <c r="A9" s="5">
        <f t="shared" ref="A9:A15" si="0">A8+1</f>
        <v>3</v>
      </c>
      <c r="B9" s="6" t="s">
        <v>89</v>
      </c>
      <c r="C9" s="6" t="s">
        <v>151</v>
      </c>
      <c r="D9" s="7">
        <v>45872</v>
      </c>
      <c r="E9" s="8" t="s">
        <v>112</v>
      </c>
      <c r="F9" s="9">
        <v>0</v>
      </c>
      <c r="G9" s="9">
        <f>IF(Table2428308910131415161718[[#This Row],[SPPU]]&gt;=0,0,Table2428308910131415161718[[#This Row],[Total Purchase Amount]]/Table2428308910131415161718[[#This Row],[Purchase QTY]])</f>
        <v>0</v>
      </c>
      <c r="H9" s="9">
        <v>0</v>
      </c>
      <c r="I9" s="9">
        <v>1500</v>
      </c>
      <c r="J9" s="9">
        <f>IFERROR(Table2428308910131415161718[[#This Row],[Sales Amt]]/Table2428308910131415161718[[#This Row],[Sales Qty]],0)</f>
        <v>577.72680000000003</v>
      </c>
      <c r="K9" s="9">
        <v>866590.2</v>
      </c>
      <c r="L9" s="9">
        <f>Table2428308910131415161718[[#This Row],[Sales Qty]]*O8</f>
        <v>860039.21695071401</v>
      </c>
      <c r="M9" s="9">
        <f>M8+Table2428308910131415161718[[#This Row],[Total Purchase Amount]]-Table2428308910131415161718[[#This Row],[Principal Cost As per  NFRS (In case of Sales)]]</f>
        <v>2874251.0630492857</v>
      </c>
      <c r="N9" s="9">
        <f>N8+Table2428308910131415161718[[#This Row],[Purchase QTY]]-Table2428308910131415161718[[#This Row],[Sales Qty]]</f>
        <v>5013</v>
      </c>
      <c r="O9" s="42">
        <f>IFERROR(Table2428308910131415161718[[#This Row],[TC AP NFRS]]/Table2428308910131415161718[[#This Row],[Unit Sum]],0)</f>
        <v>573.35947796714254</v>
      </c>
      <c r="P9" s="51">
        <f>Table2428308910131415161718[[#This Row],[Sales Amt]]-Table2428308910131415161718[[#This Row],[Principal Cost As per  NFRS (In case of Sales)]]</f>
        <v>6550.9830492859473</v>
      </c>
      <c r="R9" s="17">
        <v>0</v>
      </c>
      <c r="S9" s="17">
        <v>0</v>
      </c>
      <c r="T9" s="20">
        <v>0</v>
      </c>
      <c r="U9" s="20">
        <f t="shared" ref="U9:U13" si="1">H9+T9</f>
        <v>0</v>
      </c>
      <c r="V9" s="17">
        <f>129.99+2904.83</f>
        <v>3034.8199999999997</v>
      </c>
      <c r="W9" s="17">
        <v>25</v>
      </c>
      <c r="X9" s="20">
        <f t="shared" ref="X9" si="2">V9+W9</f>
        <v>3059.8199999999997</v>
      </c>
      <c r="Y9" s="20">
        <v>0</v>
      </c>
      <c r="Z9" s="20">
        <f t="shared" ref="Z9:Z13" si="3">K9-X9-Y9</f>
        <v>863530.38</v>
      </c>
      <c r="AA9" s="20">
        <f t="shared" ref="AA9:AA13" si="4">I9*AC8</f>
        <v>957698.72368447494</v>
      </c>
      <c r="AB9" s="20">
        <f t="shared" ref="AB9:AB13" si="5">AB8+U9-AA9</f>
        <v>3200629.1345535154</v>
      </c>
      <c r="AC9" s="20">
        <f t="shared" ref="AC9:AC17" si="6">IFERROR(AB9/N9,0)</f>
        <v>638.46581578965004</v>
      </c>
      <c r="AD9" s="58">
        <f t="shared" ref="AD9:AD13" si="7">Z9-AA9+Y9</f>
        <v>-94168.343684474938</v>
      </c>
    </row>
    <row r="10" spans="1:31" ht="30" x14ac:dyDescent="0.25">
      <c r="A10" s="5">
        <f t="shared" si="0"/>
        <v>4</v>
      </c>
      <c r="B10" s="6" t="s">
        <v>89</v>
      </c>
      <c r="C10" s="6" t="s">
        <v>152</v>
      </c>
      <c r="D10" s="7">
        <v>45873</v>
      </c>
      <c r="E10" s="8" t="s">
        <v>112</v>
      </c>
      <c r="F10" s="9"/>
      <c r="G10" s="9">
        <f>IF(Table2428308910131415161718[[#This Row],[SPPU]]&gt;=0,0,Table2428308910131415161718[[#This Row],[Total Purchase Amount]]/Table2428308910131415161718[[#This Row],[Purchase QTY]])</f>
        <v>0</v>
      </c>
      <c r="H10" s="9"/>
      <c r="I10" s="9">
        <v>700</v>
      </c>
      <c r="J10" s="9">
        <f>IFERROR(Table2428308910131415161718[[#This Row],[Sales Amt]]/Table2428308910131415161718[[#This Row],[Sales Qty]],0)</f>
        <v>579.71428571428567</v>
      </c>
      <c r="K10" s="9">
        <v>405800</v>
      </c>
      <c r="L10" s="9">
        <f>Table2428308910131415161718[[#This Row],[Sales Qty]]*O9</f>
        <v>401351.63457699976</v>
      </c>
      <c r="M10" s="9">
        <f>M9+Table2428308910131415161718[[#This Row],[Total Purchase Amount]]-Table2428308910131415161718[[#This Row],[Principal Cost As per  NFRS (In case of Sales)]]</f>
        <v>2472899.4284722861</v>
      </c>
      <c r="N10" s="9">
        <f>N9+Table2428308910131415161718[[#This Row],[Purchase QTY]]-Table2428308910131415161718[[#This Row],[Sales Qty]]</f>
        <v>4313</v>
      </c>
      <c r="O10" s="42">
        <f>IFERROR(Table2428308910131415161718[[#This Row],[TC AP NFRS]]/Table2428308910131415161718[[#This Row],[Unit Sum]],0)</f>
        <v>573.35947796714265</v>
      </c>
      <c r="P10" s="51">
        <f>Table2428308910131415161718[[#This Row],[Sales Amt]]-Table2428308910131415161718[[#This Row],[Principal Cost As per  NFRS (In case of Sales)]]</f>
        <v>4448.365423000243</v>
      </c>
      <c r="R10" s="17">
        <v>0</v>
      </c>
      <c r="S10" s="17"/>
      <c r="T10" s="20">
        <f t="shared" ref="T10:T13" si="8">R10+S10</f>
        <v>0</v>
      </c>
      <c r="U10" s="20">
        <f t="shared" si="1"/>
        <v>0</v>
      </c>
      <c r="V10" s="20">
        <f>60.88+1366.34</f>
        <v>1427.22</v>
      </c>
      <c r="W10" s="20">
        <v>25</v>
      </c>
      <c r="X10" s="55">
        <f t="shared" ref="X10:X13" si="9">V10+W10</f>
        <v>1452.22</v>
      </c>
      <c r="Y10" s="20">
        <v>0</v>
      </c>
      <c r="Z10" s="20">
        <f t="shared" si="3"/>
        <v>404347.78</v>
      </c>
      <c r="AA10" s="20">
        <f t="shared" si="4"/>
        <v>446926.07105275505</v>
      </c>
      <c r="AB10" s="20">
        <f t="shared" si="5"/>
        <v>2753703.0635007601</v>
      </c>
      <c r="AC10" s="20">
        <f t="shared" si="6"/>
        <v>638.46581578964992</v>
      </c>
      <c r="AD10" s="58">
        <f t="shared" si="7"/>
        <v>-42578.291052755027</v>
      </c>
    </row>
    <row r="11" spans="1:31" ht="30" x14ac:dyDescent="0.25">
      <c r="A11" s="5">
        <f>A10+1</f>
        <v>5</v>
      </c>
      <c r="B11" s="6" t="s">
        <v>89</v>
      </c>
      <c r="C11" s="6" t="s">
        <v>154</v>
      </c>
      <c r="D11" s="7">
        <v>45874</v>
      </c>
      <c r="E11" s="8" t="s">
        <v>112</v>
      </c>
      <c r="F11" s="9"/>
      <c r="G11" s="9">
        <f>IF(Table2428308910131415161718[[#This Row],[SPPU]]&gt;=0,0,Table2428308910131415161718[[#This Row],[Total Purchase Amount]]/Table2428308910131415161718[[#This Row],[Purchase QTY]])</f>
        <v>0</v>
      </c>
      <c r="H11" s="9"/>
      <c r="I11" s="9">
        <v>92</v>
      </c>
      <c r="J11" s="9">
        <f>Table2428308910131415161718[[#This Row],[Sales Amt]]/Table2428308910131415161718[[#This Row],[Sales Qty]]</f>
        <v>577.9</v>
      </c>
      <c r="K11" s="9">
        <v>53166.8</v>
      </c>
      <c r="L11" s="9">
        <f>Table2428308910131415161718[[#This Row],[Sales Qty]]*O10</f>
        <v>52749.071972977123</v>
      </c>
      <c r="M11" s="9">
        <f>M10+Table2428308910131415161718[[#This Row],[Total Purchase Amount]]-Table2428308910131415161718[[#This Row],[Principal Cost As per  NFRS (In case of Sales)]]</f>
        <v>2420150.3564993092</v>
      </c>
      <c r="N11" s="9">
        <f>N10+Table2428308910131415161718[[#This Row],[Purchase QTY]]-Table2428308910131415161718[[#This Row],[Sales Qty]]</f>
        <v>4221</v>
      </c>
      <c r="O11" s="42">
        <f>IFERROR(Table2428308910131415161718[[#This Row],[TC AP NFRS]]/Table2428308910131415161718[[#This Row],[Unit Sum]],0)</f>
        <v>573.35947796714265</v>
      </c>
      <c r="P11" s="51">
        <f>Table2428308910131415161718[[#This Row],[Sales Amt]]-Table2428308910131415161718[[#This Row],[Principal Cost As per  NFRS (In case of Sales)]]</f>
        <v>417.72802702288027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f>7.98+175.45</f>
        <v>183.42999999999998</v>
      </c>
      <c r="W11" s="20">
        <v>25</v>
      </c>
      <c r="X11" s="55">
        <f t="shared" si="9"/>
        <v>208.42999999999998</v>
      </c>
      <c r="Y11" s="20">
        <v>0</v>
      </c>
      <c r="Z11" s="20">
        <f t="shared" si="3"/>
        <v>52958.37</v>
      </c>
      <c r="AA11" s="20">
        <f>I11*AC10</f>
        <v>58738.855052647792</v>
      </c>
      <c r="AB11" s="20">
        <f>AB10+U11-AA11</f>
        <v>2694964.2084481125</v>
      </c>
      <c r="AC11" s="20">
        <v>721.95</v>
      </c>
      <c r="AD11" s="58">
        <f t="shared" si="7"/>
        <v>-5780.4850526477894</v>
      </c>
    </row>
    <row r="12" spans="1:31" ht="30" x14ac:dyDescent="0.25">
      <c r="A12" s="5">
        <f t="shared" si="0"/>
        <v>6</v>
      </c>
      <c r="B12" s="6" t="s">
        <v>89</v>
      </c>
      <c r="C12" s="6" t="s">
        <v>175</v>
      </c>
      <c r="D12" s="7">
        <v>45873</v>
      </c>
      <c r="E12" s="8" t="s">
        <v>112</v>
      </c>
      <c r="F12" s="9">
        <v>0</v>
      </c>
      <c r="G12" s="9">
        <f>IF(Table2428308910131415161718[[#This Row],[SPPU]]&gt;=0,0,Table2428308910131415161718[[#This Row],[Total Purchase Amount]]/Table2428308910131415161718[[#This Row],[Purchase QTY]])</f>
        <v>0</v>
      </c>
      <c r="H12" s="9">
        <v>0</v>
      </c>
      <c r="I12" s="9">
        <v>2781</v>
      </c>
      <c r="J12" s="9">
        <f>IFERROR(Table2428308910131415161718[[#This Row],[Sales Amt]]/Table2428308910131415161718[[#This Row],[Sales Qty]],0)</f>
        <v>580.74397698669543</v>
      </c>
      <c r="K12" s="9">
        <v>1615049</v>
      </c>
      <c r="L12" s="9">
        <f>Table2428308910131415161718[[#This Row],[Sales Qty]]*O11</f>
        <v>1594512.7082266237</v>
      </c>
      <c r="M12" s="9">
        <f>M11+Table2428308910131415161718[[#This Row],[Total Purchase Amount]]-Table2428308910131415161718[[#This Row],[Principal Cost As per  NFRS (In case of Sales)]]</f>
        <v>825637.64827268547</v>
      </c>
      <c r="N12" s="9">
        <f>N11+Table2428308910131415161718[[#This Row],[Purchase QTY]]-Table2428308910131415161718[[#This Row],[Sales Qty]]</f>
        <v>1440</v>
      </c>
      <c r="O12" s="42">
        <f>IFERROR(Table2428308910131415161718[[#This Row],[TC AP NFRS]]/Table2428308910131415161718[[#This Row],[Unit Sum]],0)</f>
        <v>573.35947796714265</v>
      </c>
      <c r="P12" s="51">
        <f>Table2428308910131415161718[[#This Row],[Sales Amt]]-Table2428308910131415161718[[#This Row],[Principal Cost As per  NFRS (In case of Sales)]]</f>
        <v>20536.291773376288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f>242.25+5257.34</f>
        <v>5499.59</v>
      </c>
      <c r="W12" s="20">
        <v>25</v>
      </c>
      <c r="X12" s="55">
        <f t="shared" si="9"/>
        <v>5524.59</v>
      </c>
      <c r="Y12" s="20">
        <v>0</v>
      </c>
      <c r="Z12" s="20">
        <f t="shared" si="3"/>
        <v>1609524.41</v>
      </c>
      <c r="AA12" s="20">
        <f t="shared" si="4"/>
        <v>2007742.9500000002</v>
      </c>
      <c r="AB12" s="20">
        <f t="shared" si="5"/>
        <v>687221.25844811229</v>
      </c>
      <c r="AC12" s="20">
        <v>721.95</v>
      </c>
      <c r="AD12" s="58">
        <f t="shared" si="7"/>
        <v>-398218.54000000027</v>
      </c>
    </row>
    <row r="13" spans="1:31" ht="30" x14ac:dyDescent="0.25">
      <c r="A13" s="5">
        <f t="shared" si="0"/>
        <v>7</v>
      </c>
      <c r="B13" s="6" t="s">
        <v>89</v>
      </c>
      <c r="C13" s="6" t="s">
        <v>176</v>
      </c>
      <c r="D13" s="7">
        <v>45874</v>
      </c>
      <c r="E13" s="8" t="s">
        <v>112</v>
      </c>
      <c r="F13" s="9">
        <v>0</v>
      </c>
      <c r="G13" s="9">
        <f>IF(Table2428308910131415161718[[#This Row],[SPPU]]&gt;=0,0,Table2428308910131415161718[[#This Row],[Total Purchase Amount]]/Table2428308910131415161718[[#This Row],[Purchase QTY]])</f>
        <v>0</v>
      </c>
      <c r="H13" s="9">
        <v>0</v>
      </c>
      <c r="I13" s="9">
        <v>186</v>
      </c>
      <c r="J13" s="9">
        <f>IFERROR(Table2428308910131415161718[[#This Row],[Sales Amt]]/Table2428308910131415161718[[#This Row],[Sales Qty]],0)</f>
        <v>577.94086021505382</v>
      </c>
      <c r="K13" s="9">
        <v>107497</v>
      </c>
      <c r="L13" s="9">
        <f>Table2428308910131415161718[[#This Row],[Sales Qty]]*O12</f>
        <v>106644.86290188854</v>
      </c>
      <c r="M13" s="9">
        <f>M12+Table2428308910131415161718[[#This Row],[Total Purchase Amount]]-Table2428308910131415161718[[#This Row],[Principal Cost As per  NFRS (In case of Sales)]]</f>
        <v>718992.78537079692</v>
      </c>
      <c r="N13" s="9">
        <f>N12+Table2428308910131415161718[[#This Row],[Purchase QTY]]-Table2428308910131415161718[[#This Row],[Sales Qty]]</f>
        <v>1254</v>
      </c>
      <c r="O13" s="42">
        <f>IFERROR(Table2428308910131415161718[[#This Row],[TC AP NFRS]]/Table2428308910131415161718[[#This Row],[Unit Sum]],0)</f>
        <v>573.35947796714265</v>
      </c>
      <c r="P13" s="51">
        <f>Table2428308910131415161718[[#This Row],[Sales Amt]]-Table2428308910131415161718[[#This Row],[Principal Cost As per  NFRS (In case of Sales)]]</f>
        <v>852.13709811145964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f>16.12+356.65</f>
        <v>372.77</v>
      </c>
      <c r="W13" s="20">
        <v>25</v>
      </c>
      <c r="X13" s="55">
        <f t="shared" si="9"/>
        <v>397.77</v>
      </c>
      <c r="Y13" s="20">
        <v>0</v>
      </c>
      <c r="Z13" s="20">
        <f t="shared" si="3"/>
        <v>107099.23</v>
      </c>
      <c r="AA13" s="20">
        <f t="shared" si="4"/>
        <v>134282.70000000001</v>
      </c>
      <c r="AB13" s="20">
        <f t="shared" si="5"/>
        <v>552938.55844811234</v>
      </c>
      <c r="AC13" s="20">
        <f t="shared" si="6"/>
        <v>440.93983927281687</v>
      </c>
      <c r="AD13" s="58">
        <f t="shared" si="7"/>
        <v>-27183.470000000016</v>
      </c>
    </row>
    <row r="14" spans="1:31" ht="15.95" customHeight="1" x14ac:dyDescent="0.25">
      <c r="A14" s="5">
        <f t="shared" si="0"/>
        <v>8</v>
      </c>
      <c r="B14" s="6" t="s">
        <v>89</v>
      </c>
      <c r="C14" s="6" t="s">
        <v>880</v>
      </c>
      <c r="D14" s="7">
        <v>45875</v>
      </c>
      <c r="E14" s="8" t="s">
        <v>112</v>
      </c>
      <c r="F14" s="9">
        <v>0</v>
      </c>
      <c r="G14" s="9">
        <f>IF(Table2428308910131415161718[[#This Row],[SPPU]]&gt;=0,0,Table2428308910131415161718[[#This Row],[Total Purchase Amount]]/Table2428308910131415161718[[#This Row],[Purchase QTY]])</f>
        <v>0</v>
      </c>
      <c r="H14" s="9">
        <v>0</v>
      </c>
      <c r="I14" s="9">
        <v>700</v>
      </c>
      <c r="J14" s="9">
        <f>IFERROR(Table2428308910131415161718[[#This Row],[Sales Amt]]/Table2428308910131415161718[[#This Row],[Sales Qty]],0)</f>
        <v>567.66285714285709</v>
      </c>
      <c r="K14" s="9">
        <v>397364</v>
      </c>
      <c r="L14" s="9">
        <f>Table2428308910131415161718[[#This Row],[Sales Qty]]*O13</f>
        <v>401351.63457699987</v>
      </c>
      <c r="M14" s="9">
        <f>M13+Table2428308910131415161718[[#This Row],[Total Purchase Amount]]-Table2428308910131415161718[[#This Row],[Principal Cost As per  NFRS (In case of Sales)]]</f>
        <v>317641.15079379705</v>
      </c>
      <c r="N14" s="9">
        <f>N13+Table2428308910131415161718[[#This Row],[Purchase QTY]]-Table2428308910131415161718[[#This Row],[Sales Qty]]</f>
        <v>554</v>
      </c>
      <c r="O14" s="42">
        <f>IFERROR(Table2428308910131415161718[[#This Row],[TC AP NFRS]]/Table2428308910131415161718[[#This Row],[Unit Sum]],0)</f>
        <v>573.35947796714265</v>
      </c>
      <c r="P14" s="51">
        <f>Table2428308910131415161718[[#This Row],[Sales Amt]]-Table2428308910131415161718[[#This Row],[Principal Cost As per  NFRS (In case of Sales)]]</f>
        <v>-3987.6345769998734</v>
      </c>
      <c r="R14" s="17">
        <v>0</v>
      </c>
      <c r="S14" s="17"/>
      <c r="T14" s="20">
        <f t="shared" ref="T14:T15" si="10">R14+S14</f>
        <v>0</v>
      </c>
      <c r="U14" s="20">
        <f t="shared" ref="U14:U15" si="11">H14+T14</f>
        <v>0</v>
      </c>
      <c r="V14" s="20">
        <f>1313.86+59.61</f>
        <v>1373.4699999999998</v>
      </c>
      <c r="W14" s="20">
        <v>25</v>
      </c>
      <c r="X14" s="55">
        <f t="shared" ref="X14:X16" si="12">V14+W14</f>
        <v>1398.4699999999998</v>
      </c>
      <c r="Y14" s="20">
        <v>0</v>
      </c>
      <c r="Z14" s="20">
        <f t="shared" ref="Z14:Z15" si="13">K14-X14-Y14</f>
        <v>395965.53</v>
      </c>
      <c r="AA14" s="20">
        <f t="shared" ref="AA14:AA15" si="14">I14*AC13</f>
        <v>308657.88749097183</v>
      </c>
      <c r="AB14" s="20">
        <f t="shared" ref="AB14:AB15" si="15">AB13+U14-AA14</f>
        <v>244280.67095714051</v>
      </c>
      <c r="AC14" s="20">
        <f t="shared" ref="AC14:AC15" si="16">IFERROR(AB14/N14,0)</f>
        <v>440.93983927281681</v>
      </c>
      <c r="AD14" s="58">
        <f t="shared" ref="AD14:AD15" si="17">Z14-AA14+Y14</f>
        <v>87307.642509028199</v>
      </c>
    </row>
    <row r="15" spans="1:31" ht="17.45" customHeight="1" x14ac:dyDescent="0.25">
      <c r="A15" s="5">
        <f t="shared" si="0"/>
        <v>9</v>
      </c>
      <c r="B15" s="6" t="s">
        <v>89</v>
      </c>
      <c r="C15" s="6" t="s">
        <v>881</v>
      </c>
      <c r="D15" s="7">
        <v>45880</v>
      </c>
      <c r="E15" s="8" t="s">
        <v>112</v>
      </c>
      <c r="F15" s="9">
        <v>0</v>
      </c>
      <c r="G15" s="9">
        <f>IF(Table2428308910131415161718[[#This Row],[SPPU]]&gt;=0,0,Table2428308910131415161718[[#This Row],[Total Purchase Amount]]/Table2428308910131415161718[[#This Row],[Purchase QTY]])</f>
        <v>0</v>
      </c>
      <c r="H15" s="9">
        <v>0</v>
      </c>
      <c r="I15" s="9">
        <v>20</v>
      </c>
      <c r="J15" s="9">
        <f>IFERROR(Table2428308910131415161718[[#This Row],[Sales Amt]]/Table2428308910131415161718[[#This Row],[Sales Qty]],0)</f>
        <v>563</v>
      </c>
      <c r="K15" s="9">
        <v>11260</v>
      </c>
      <c r="L15" s="9">
        <f>Table2428308910131415161718[[#This Row],[Sales Qty]]*O14</f>
        <v>11467.189559342853</v>
      </c>
      <c r="M15" s="9">
        <f>M14+Table2428308910131415161718[[#This Row],[Total Purchase Amount]]-Table2428308910131415161718[[#This Row],[Principal Cost As per  NFRS (In case of Sales)]]</f>
        <v>306173.96123445418</v>
      </c>
      <c r="N15" s="9">
        <f>N14+Table2428308910131415161718[[#This Row],[Purchase QTY]]-Table2428308910131415161718[[#This Row],[Sales Qty]]</f>
        <v>534</v>
      </c>
      <c r="O15" s="42">
        <f>IFERROR(Table2428308910131415161718[[#This Row],[TC AP NFRS]]/Table2428308910131415161718[[#This Row],[Unit Sum]],0)</f>
        <v>573.35947796714265</v>
      </c>
      <c r="P15" s="51">
        <f>Table2428308910131415161718[[#This Row],[Sales Amt]]-Table2428308910131415161718[[#This Row],[Principal Cost As per  NFRS (In case of Sales)]]</f>
        <v>-207.18955934285259</v>
      </c>
      <c r="R15" s="17">
        <v>0</v>
      </c>
      <c r="S15" s="17"/>
      <c r="T15" s="20">
        <f t="shared" si="10"/>
        <v>0</v>
      </c>
      <c r="U15" s="20">
        <f t="shared" si="11"/>
        <v>0</v>
      </c>
      <c r="V15" s="20">
        <f>40.54+1.69</f>
        <v>42.23</v>
      </c>
      <c r="W15" s="20">
        <v>25</v>
      </c>
      <c r="X15" s="55">
        <f t="shared" si="12"/>
        <v>67.22999999999999</v>
      </c>
      <c r="Y15" s="20">
        <v>0</v>
      </c>
      <c r="Z15" s="20">
        <f t="shared" si="13"/>
        <v>11192.77</v>
      </c>
      <c r="AA15" s="20">
        <f t="shared" si="14"/>
        <v>8818.7967854563358</v>
      </c>
      <c r="AB15" s="20">
        <f t="shared" si="15"/>
        <v>235461.87417168418</v>
      </c>
      <c r="AC15" s="20">
        <f t="shared" si="16"/>
        <v>440.93983927281681</v>
      </c>
      <c r="AD15" s="58">
        <f t="shared" si="17"/>
        <v>2373.9732145436647</v>
      </c>
    </row>
    <row r="16" spans="1:31" ht="14.45" customHeight="1" x14ac:dyDescent="0.25">
      <c r="A16" s="5"/>
      <c r="B16" s="6"/>
      <c r="C16" s="6"/>
      <c r="D16" s="7"/>
      <c r="E16" s="8"/>
      <c r="F16" s="9"/>
      <c r="G16" s="9" t="e">
        <f>Table2428308910131415161718[[#This Row],[Total Purchase Amount]]/Table2428308910131415161718[[#This Row],[Purchase QTY]]</f>
        <v>#DIV/0!</v>
      </c>
      <c r="H16" s="9"/>
      <c r="I16" s="9">
        <v>8</v>
      </c>
      <c r="J16" s="9">
        <v>546</v>
      </c>
      <c r="K16" s="9">
        <f>Table2428308910131415161718[[#This Row],[Sales Qty]]*Table2428308910131415161718[[#This Row],[SPPU]]</f>
        <v>4368</v>
      </c>
      <c r="L16" s="9">
        <f>Table2428308910131415161718[[#This Row],[Sales Qty]]*O15</f>
        <v>4586.8758237371412</v>
      </c>
      <c r="M16" s="9">
        <f>M15+Table2428308910131415161718[[#This Row],[Total Purchase Amount]]-Table2428308910131415161718[[#This Row],[Principal Cost As per  NFRS (In case of Sales)]]</f>
        <v>301587.08541071706</v>
      </c>
      <c r="N16" s="9">
        <f>N15+Table2428308910131415161718[[#This Row],[Purchase QTY]]-Table2428308910131415161718[[#This Row],[Sales Qty]]</f>
        <v>526</v>
      </c>
      <c r="O16" s="42">
        <f>IFERROR(Table2428308910131415161718[[#This Row],[TC AP NFRS]]/Table2428308910131415161718[[#This Row],[Unit Sum]],0)</f>
        <v>573.35947796714265</v>
      </c>
      <c r="P16" s="51">
        <f>Table2428308910131415161718[[#This Row],[Sales Amt]]-Table2428308910131415161718[[#This Row],[Principal Cost As per  NFRS (In case of Sales)]]</f>
        <v>-218.87582373714122</v>
      </c>
      <c r="R16" s="17"/>
      <c r="S16" s="17"/>
      <c r="T16" s="20"/>
      <c r="U16" s="20"/>
      <c r="V16" s="82">
        <v>16.38</v>
      </c>
      <c r="W16" s="82">
        <v>25</v>
      </c>
      <c r="X16" s="55">
        <f t="shared" si="12"/>
        <v>41.379999999999995</v>
      </c>
      <c r="Y16" s="20"/>
      <c r="Z16" s="20">
        <f t="shared" ref="Z16" si="18">K16-X16-Y16</f>
        <v>4326.62</v>
      </c>
      <c r="AA16" s="20">
        <f t="shared" ref="AA16" si="19">I16*AC15</f>
        <v>3527.5187141825345</v>
      </c>
      <c r="AB16" s="20">
        <f t="shared" ref="AB16" si="20">AB15+U16-AA16</f>
        <v>231934.35545750163</v>
      </c>
      <c r="AC16" s="20">
        <f t="shared" ref="AC16" si="21">IFERROR(AB16/N16,0)</f>
        <v>440.93983927281681</v>
      </c>
      <c r="AD16" s="81">
        <f t="shared" ref="AD16" si="22">Z16-AA16+Y16</f>
        <v>799.1012858174654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6513</v>
      </c>
      <c r="G17" s="15"/>
      <c r="H17" s="15">
        <f ca="1">SUM(INDIRECT("h4:h"&amp;ROW()-1))</f>
        <v>3734290.28</v>
      </c>
      <c r="I17" s="15">
        <f ca="1">SUM(INDIRECT("i4:i"&amp;ROW()-1))</f>
        <v>5987</v>
      </c>
      <c r="J17" s="15">
        <f ca="1">Table2428308910131415161718[[#This Row],[Sales Amt]]/Table2428308910131415161718[[#This Row],[Sales Qty]]</f>
        <v>578.1017203941874</v>
      </c>
      <c r="K17" s="15">
        <f ca="1">SUM(INDIRECT("k4:k"&amp;ROW()-1))</f>
        <v>3461095</v>
      </c>
      <c r="L17" s="15">
        <f ca="1">SUM(INDIRECT("l4:l"&amp;ROW()-1))</f>
        <v>3432703.1945892829</v>
      </c>
      <c r="M17" s="15">
        <f ca="1">Table2428308910131415161718[[#This Row],[Total Purchase Amount]]-Table2428308910131415161718[[#This Row],[Principal Cost As per  NFRS (In case of Sales)]]</f>
        <v>301587.08541071694</v>
      </c>
      <c r="N17" s="15">
        <f ca="1">Table2428308910131415161718[[#This Row],[Purchase QTY]]-Table2428308910131415161718[[#This Row],[Sales Qty]]</f>
        <v>526</v>
      </c>
      <c r="O17" s="43">
        <f ca="1">Table2428308910131415161718[[#This Row],[TC AP NFRS]]/Table2428308910131415161718[[#This Row],[Unit Sum]]</f>
        <v>573.35947796714242</v>
      </c>
      <c r="P17" s="15">
        <f>SUBTOTAL(109,P7:P16)</f>
        <v>28391.805410716952</v>
      </c>
      <c r="R17" s="24">
        <f t="shared" ref="R17:AA17" si="23">SUM(R7:R15)</f>
        <v>1026.3800000000001</v>
      </c>
      <c r="S17" s="24">
        <f t="shared" si="23"/>
        <v>25</v>
      </c>
      <c r="T17" s="24">
        <f t="shared" si="23"/>
        <v>1051.3800000000001</v>
      </c>
      <c r="U17" s="24">
        <f t="shared" si="23"/>
        <v>4158327.8582379902</v>
      </c>
      <c r="V17" s="24">
        <f t="shared" si="23"/>
        <v>11933.53</v>
      </c>
      <c r="W17" s="24">
        <f t="shared" si="23"/>
        <v>175</v>
      </c>
      <c r="X17" s="24">
        <f t="shared" si="23"/>
        <v>12108.53</v>
      </c>
      <c r="Y17" s="24">
        <f t="shared" si="23"/>
        <v>0</v>
      </c>
      <c r="Z17" s="24">
        <f t="shared" si="23"/>
        <v>3444618.47</v>
      </c>
      <c r="AA17" s="24">
        <f t="shared" si="23"/>
        <v>3922865.9840663066</v>
      </c>
      <c r="AB17" s="24">
        <f>U17-AA17</f>
        <v>235461.87417168356</v>
      </c>
      <c r="AC17" s="24">
        <f t="shared" ca="1" si="6"/>
        <v>447.64614861536802</v>
      </c>
      <c r="AD17" s="24">
        <f>SUM(AD7:AD16)</f>
        <v>-477448.41278048872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60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89</v>
      </c>
      <c r="C21" s="97"/>
      <c r="D21" s="98">
        <v>45886</v>
      </c>
      <c r="E21" s="99" t="s">
        <v>19</v>
      </c>
      <c r="F21" s="20">
        <v>6513</v>
      </c>
      <c r="G21" s="59"/>
      <c r="H21" s="59">
        <v>3734290.28</v>
      </c>
      <c r="I21" s="59">
        <v>5987</v>
      </c>
      <c r="J21" s="59">
        <v>578.1017203941874</v>
      </c>
      <c r="K21" s="59">
        <v>3461095</v>
      </c>
      <c r="L21" s="59">
        <v>3432703.1945892829</v>
      </c>
      <c r="M21" s="59">
        <v>301587.08541071694</v>
      </c>
      <c r="N21" s="59">
        <v>526</v>
      </c>
      <c r="O21" s="59">
        <v>573.35947796714242</v>
      </c>
      <c r="P21" s="59">
        <v>28391.805410716952</v>
      </c>
      <c r="Q21" s="59"/>
      <c r="R21" s="59">
        <v>1026.3800000000001</v>
      </c>
      <c r="S21" s="59">
        <v>25</v>
      </c>
      <c r="T21" s="59">
        <v>1051.3800000000001</v>
      </c>
      <c r="U21" s="59">
        <v>4158327.8582379902</v>
      </c>
      <c r="V21" s="59">
        <v>11933.53</v>
      </c>
      <c r="W21" s="59">
        <v>175</v>
      </c>
      <c r="X21" s="59">
        <v>12108.53</v>
      </c>
      <c r="Y21" s="59">
        <v>0</v>
      </c>
      <c r="Z21" s="59">
        <v>3444618.47</v>
      </c>
      <c r="AA21" s="59">
        <v>3922865.9840663066</v>
      </c>
      <c r="AB21" s="59">
        <v>235461.87417168356</v>
      </c>
      <c r="AC21" s="59">
        <v>447.64614861536802</v>
      </c>
      <c r="AD21" s="59">
        <v>-477448.41278048872</v>
      </c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fitToHeight="0" orientation="landscape" horizontalDpi="300" verticalDpi="300" r:id="rId1"/>
  <colBreaks count="1" manualBreakCount="1">
    <brk id="25" max="1048575" man="1"/>
  </colBreak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56D729-EA92-4441-8355-4968B6A5DF5A}">
          <x14:formula1>
            <xm:f>VALIDATION!$A$2:$A$7</xm:f>
          </x14:formula1>
          <xm:sqref>E7:E16 E21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20"/>
  <sheetViews>
    <sheetView topLeftCell="A8" workbookViewId="0">
      <selection activeCell="N14" sqref="N14"/>
    </sheetView>
  </sheetViews>
  <sheetFormatPr defaultRowHeight="15" x14ac:dyDescent="0.25"/>
  <cols>
    <col min="1" max="1" width="16.140625" customWidth="1"/>
    <col min="2" max="2" width="6.85546875" bestFit="1" customWidth="1"/>
    <col min="3" max="3" width="18" customWidth="1"/>
    <col min="4" max="4" width="10.28515625" bestFit="1" customWidth="1"/>
    <col min="5" max="5" width="8.85546875" bestFit="1" customWidth="1"/>
    <col min="6" max="7" width="12.140625" bestFit="1" customWidth="1"/>
    <col min="8" max="8" width="16.85546875" bestFit="1" customWidth="1"/>
    <col min="9" max="10" width="12.140625" bestFit="1" customWidth="1"/>
    <col min="11" max="13" width="16.85546875" bestFit="1" customWidth="1"/>
    <col min="14" max="15" width="12.140625" bestFit="1" customWidth="1"/>
    <col min="16" max="16" width="14.85546875" bestFit="1" customWidth="1"/>
    <col min="17" max="17" width="13.85546875" bestFit="1" customWidth="1"/>
    <col min="18" max="18" width="14.28515625" bestFit="1" customWidth="1"/>
    <col min="19" max="19" width="10.85546875" bestFit="1" customWidth="1"/>
    <col min="20" max="20" width="14.28515625" bestFit="1" customWidth="1"/>
    <col min="21" max="21" width="17.7109375" bestFit="1" customWidth="1"/>
    <col min="22" max="22" width="12.85546875" bestFit="1" customWidth="1"/>
    <col min="23" max="23" width="9.5703125" bestFit="1" customWidth="1"/>
    <col min="24" max="24" width="12.85546875" bestFit="1" customWidth="1"/>
    <col min="25" max="25" width="17.140625" bestFit="1" customWidth="1"/>
    <col min="26" max="26" width="17.7109375" bestFit="1" customWidth="1"/>
    <col min="27" max="27" width="34.5703125" bestFit="1" customWidth="1"/>
    <col min="28" max="28" width="17.7109375" bestFit="1" customWidth="1"/>
    <col min="29" max="29" width="14.7109375" bestFit="1" customWidth="1"/>
    <col min="30" max="30" width="14.2851562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60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x14ac:dyDescent="0.25">
      <c r="A7" s="5">
        <v>1</v>
      </c>
      <c r="B7" s="6" t="s">
        <v>52</v>
      </c>
      <c r="C7" s="6"/>
      <c r="D7" s="7">
        <v>45855</v>
      </c>
      <c r="E7" s="8" t="s">
        <v>19</v>
      </c>
      <c r="F7" s="9">
        <v>1696</v>
      </c>
      <c r="G7" s="9">
        <v>1220.1400000000001</v>
      </c>
      <c r="H7" s="9">
        <f>Table242830[[#This Row],[PPPU]]*Table242830[[#This Row],[Purchase QTY]]</f>
        <v>2069357.4400000002</v>
      </c>
      <c r="I7" s="9"/>
      <c r="J7" s="9"/>
      <c r="K7" s="9">
        <f>Table242830[[#This Row],[Sales Qty]]*Table242830[[#This Row],[SPPU]]</f>
        <v>0</v>
      </c>
      <c r="L7" s="9"/>
      <c r="M7" s="9">
        <f>Table242830[[#This Row],[Total Purchase Amount]]</f>
        <v>2069357.4400000002</v>
      </c>
      <c r="N7" s="9">
        <f>IF(Table242830[[#This Row],[Txn Type]]="opening",Table242830[[#This Row],[Purchase QTY]],"Error")</f>
        <v>1696</v>
      </c>
      <c r="O7" s="42">
        <f>IFERROR(Table242830[[#This Row],[TC AP NFRS]]/Table242830[[#This Row],[Unit Sum]],0)</f>
        <v>1220.1400000000001</v>
      </c>
      <c r="P7" s="10">
        <f>Table242830[[#This Row],[Sales Amt]]-Table242830[[#This Row],[Principal Cost As per  NFRS (In case of Sales)]]</f>
        <v>0</v>
      </c>
      <c r="R7" s="17">
        <v>0</v>
      </c>
      <c r="S7" s="17"/>
      <c r="T7" s="20">
        <f>R7+S7</f>
        <v>0</v>
      </c>
      <c r="U7" s="20">
        <f>AB7</f>
        <v>2127123.2000000002</v>
      </c>
      <c r="V7" s="20">
        <v>0</v>
      </c>
      <c r="W7" s="20">
        <v>0</v>
      </c>
      <c r="X7" s="55">
        <f>V7+W7</f>
        <v>0</v>
      </c>
      <c r="Y7" s="20">
        <v>0</v>
      </c>
      <c r="Z7" s="20">
        <f>K7-X7-Y7</f>
        <v>0</v>
      </c>
      <c r="AA7" s="20"/>
      <c r="AB7" s="20">
        <f>AC7*Table242830[[#This Row],[Purchase QTY]]</f>
        <v>2127123.2000000002</v>
      </c>
      <c r="AC7" s="20">
        <v>1254.2</v>
      </c>
      <c r="AD7" s="56">
        <f>Z7-AA7+Y7</f>
        <v>0</v>
      </c>
    </row>
    <row r="8" spans="1:30" ht="30" x14ac:dyDescent="0.25">
      <c r="A8" s="5">
        <v>2</v>
      </c>
      <c r="B8" s="6" t="s">
        <v>52</v>
      </c>
      <c r="C8" s="6" t="s">
        <v>54</v>
      </c>
      <c r="D8" s="7">
        <v>45860</v>
      </c>
      <c r="E8" s="8" t="s">
        <v>21</v>
      </c>
      <c r="F8" s="9">
        <v>0</v>
      </c>
      <c r="G8" s="9">
        <f>IF(Table242830[[#This Row],[SPPU]]&gt;0,0,Table242830[[#This Row],[Total Purchase Amount]]/Table242830[[#This Row],[Purchase QTY]])</f>
        <v>0</v>
      </c>
      <c r="H8" s="9">
        <v>0</v>
      </c>
      <c r="I8" s="9">
        <v>1696</v>
      </c>
      <c r="J8" s="9">
        <v>1299</v>
      </c>
      <c r="K8" s="9">
        <v>2203104</v>
      </c>
      <c r="L8" s="9">
        <f>Table242830[[#This Row],[Sales Qty]]*O7</f>
        <v>2069357.4400000002</v>
      </c>
      <c r="M8" s="9">
        <f>M7+Table242830[[#This Row],[Total Purchase Amount]]-Table242830[[#This Row],[Principal Cost As per  NFRS (In case of Sales)]]</f>
        <v>0</v>
      </c>
      <c r="N8" s="9">
        <f>N7+Table242830[[#This Row],[Purchase QTY]]-Table242830[[#This Row],[Sales Qty]]</f>
        <v>0</v>
      </c>
      <c r="O8" s="42">
        <f>IFERROR(Table242830[[#This Row],[TC AP NFRS]]/Table242830[[#This Row],[Unit Sum]],0)</f>
        <v>0</v>
      </c>
      <c r="P8" s="10">
        <f>Table242830[[#This Row],[Sales Amt]]-Table242830[[#This Row],[Principal Cost As per  NFRS (In case of Sales)]]</f>
        <v>133746.55999999982</v>
      </c>
      <c r="R8" s="17">
        <v>0</v>
      </c>
      <c r="S8" s="17"/>
      <c r="T8" s="20">
        <f>R8+S8</f>
        <v>0</v>
      </c>
      <c r="U8" s="20">
        <f>H8+T8</f>
        <v>0</v>
      </c>
      <c r="V8" s="20">
        <f>5948.38+330.47</f>
        <v>6278.85</v>
      </c>
      <c r="W8" s="20">
        <v>25</v>
      </c>
      <c r="X8" s="55">
        <f>V8+W8</f>
        <v>6303.85</v>
      </c>
      <c r="Y8" s="20">
        <v>6967.7</v>
      </c>
      <c r="Z8" s="20">
        <f>K8-X8-Y8</f>
        <v>2189832.4499999997</v>
      </c>
      <c r="AA8" s="20">
        <f>I8*AC7</f>
        <v>2127123.2000000002</v>
      </c>
      <c r="AB8" s="20">
        <f>AB7+U8-AA8</f>
        <v>0</v>
      </c>
      <c r="AC8" s="20">
        <f t="shared" ref="AC8:AC13" si="0">IFERROR(AB8/N8,0)</f>
        <v>0</v>
      </c>
      <c r="AD8" s="56">
        <f>Z8-AA8+Y8</f>
        <v>69676.949999999531</v>
      </c>
    </row>
    <row r="9" spans="1:30" ht="30" x14ac:dyDescent="0.25">
      <c r="A9" s="5">
        <f>A8+1</f>
        <v>3</v>
      </c>
      <c r="B9" s="6" t="s">
        <v>52</v>
      </c>
      <c r="C9" s="6" t="s">
        <v>99</v>
      </c>
      <c r="D9" s="7">
        <v>45861</v>
      </c>
      <c r="E9" s="8" t="s">
        <v>55</v>
      </c>
      <c r="F9" s="9">
        <v>1650</v>
      </c>
      <c r="G9" s="9">
        <f>Table242830[[#This Row],[Total Purchase Amount]]/Table242830[[#This Row],[Purchase QTY]]</f>
        <v>1330.4545454545455</v>
      </c>
      <c r="H9" s="9">
        <v>2195250</v>
      </c>
      <c r="I9" s="9">
        <v>0</v>
      </c>
      <c r="J9" s="9"/>
      <c r="K9" s="9">
        <f>Table242830[[#This Row],[Sales Qty]]*Table242830[[#This Row],[SPPU]]</f>
        <v>0</v>
      </c>
      <c r="L9" s="9">
        <f>Table242830[[#This Row],[Sales Qty]]*O8</f>
        <v>0</v>
      </c>
      <c r="M9" s="9">
        <f>M8+Table242830[[#This Row],[Total Purchase Amount]]-Table242830[[#This Row],[Principal Cost As per  NFRS (In case of Sales)]]</f>
        <v>2195250</v>
      </c>
      <c r="N9" s="9">
        <f>N8+Table242830[[#This Row],[Purchase QTY]]-Table242830[[#This Row],[Sales Qty]]</f>
        <v>1650</v>
      </c>
      <c r="O9" s="42">
        <f>Table242830[[#This Row],[TC AP NFRS]]/Table242830[[#This Row],[Unit Sum]]</f>
        <v>1330.4545454545455</v>
      </c>
      <c r="P9" s="10">
        <f>Table242830[[#This Row],[Sales Amt]]-Table242830[[#This Row],[Principal Cost As per  NFRS (In case of Sales)]]</f>
        <v>0</v>
      </c>
      <c r="R9" s="17">
        <f>329.29+6805.28</f>
        <v>7134.57</v>
      </c>
      <c r="S9" s="17">
        <v>25</v>
      </c>
      <c r="T9" s="20">
        <f t="shared" ref="T9:T13" si="1">R9+S9</f>
        <v>7159.57</v>
      </c>
      <c r="U9" s="20">
        <f t="shared" ref="U9:U13" si="2">H9+T9</f>
        <v>2202409.5699999998</v>
      </c>
      <c r="V9" s="20">
        <v>0</v>
      </c>
      <c r="W9" s="20">
        <v>0</v>
      </c>
      <c r="X9" s="55">
        <f t="shared" ref="X9:X13" si="3">V9+W9</f>
        <v>0</v>
      </c>
      <c r="Y9" s="20">
        <v>0</v>
      </c>
      <c r="Z9" s="20">
        <f t="shared" ref="Z9:Z13" si="4">K9-X9-Y9</f>
        <v>0</v>
      </c>
      <c r="AA9" s="20">
        <f t="shared" ref="AA9:AA13" si="5">I9*AC8</f>
        <v>0</v>
      </c>
      <c r="AB9" s="20">
        <f t="shared" ref="AB9:AB13" si="6">AB8+U9-AA9</f>
        <v>2202409.5699999998</v>
      </c>
      <c r="AC9" s="20">
        <f t="shared" si="0"/>
        <v>1334.7936787878787</v>
      </c>
      <c r="AD9" s="56">
        <f t="shared" ref="AD9:AD13" si="7">Z9-AA9+Y9</f>
        <v>0</v>
      </c>
    </row>
    <row r="10" spans="1:30" ht="30" x14ac:dyDescent="0.25">
      <c r="A10" s="5">
        <f t="shared" ref="A10:A13" si="8">A9+1</f>
        <v>4</v>
      </c>
      <c r="B10" s="6" t="s">
        <v>52</v>
      </c>
      <c r="C10" s="6" t="s">
        <v>165</v>
      </c>
      <c r="D10" s="7">
        <v>45862</v>
      </c>
      <c r="E10" s="8" t="s">
        <v>55</v>
      </c>
      <c r="F10" s="9">
        <v>200</v>
      </c>
      <c r="G10" s="9">
        <f>Table242830[[#This Row],[Total Purchase Amount]]/Table242830[[#This Row],[Purchase QTY]]</f>
        <v>1340</v>
      </c>
      <c r="H10" s="9">
        <v>268000</v>
      </c>
      <c r="I10" s="9">
        <v>0</v>
      </c>
      <c r="J10" s="9"/>
      <c r="K10" s="9">
        <f>Table242830[[#This Row],[Sales Qty]]*Table242830[[#This Row],[SPPU]]</f>
        <v>0</v>
      </c>
      <c r="L10" s="9"/>
      <c r="M10" s="9">
        <f>M9+Table242830[[#This Row],[Total Purchase Amount]]-Table242830[[#This Row],[Principal Cost As per  NFRS (In case of Sales)]]</f>
        <v>2463250</v>
      </c>
      <c r="N10" s="9">
        <f>N9+Table242830[[#This Row],[Purchase QTY]]-Table242830[[#This Row],[Sales Qty]]</f>
        <v>1850</v>
      </c>
      <c r="O10" s="42">
        <f>Table242830[[#This Row],[TC AP NFRS]]/Table242830[[#This Row],[Unit Sum]]</f>
        <v>1331.4864864864865</v>
      </c>
      <c r="P10" s="10">
        <f>Table242830[[#This Row],[Sales Amt]]-Table242830[[#This Row],[Principal Cost As per  NFRS (In case of Sales)]]</f>
        <v>0</v>
      </c>
      <c r="R10" s="17">
        <f>884.4+40.2</f>
        <v>924.6</v>
      </c>
      <c r="S10" s="17">
        <v>25</v>
      </c>
      <c r="T10" s="20">
        <f t="shared" ref="T10" si="9">R10+S10</f>
        <v>949.6</v>
      </c>
      <c r="U10" s="20">
        <f t="shared" ref="U10" si="10">H10+T10</f>
        <v>268949.59999999998</v>
      </c>
      <c r="V10" s="20">
        <v>0</v>
      </c>
      <c r="W10" s="20">
        <v>0</v>
      </c>
      <c r="X10" s="55">
        <f t="shared" ref="X10" si="11">V10+W10</f>
        <v>0</v>
      </c>
      <c r="Y10" s="20">
        <v>0</v>
      </c>
      <c r="Z10" s="20">
        <f t="shared" ref="Z10" si="12">K10-X10-Y10</f>
        <v>0</v>
      </c>
      <c r="AA10" s="20">
        <f>I10*AC8</f>
        <v>0</v>
      </c>
      <c r="AB10" s="20">
        <f t="shared" si="6"/>
        <v>2471359.17</v>
      </c>
      <c r="AC10" s="20">
        <f t="shared" si="0"/>
        <v>1335.8698216216217</v>
      </c>
      <c r="AD10" s="56">
        <f t="shared" ref="AD10" si="13">Z10-AA10+Y10</f>
        <v>0</v>
      </c>
    </row>
    <row r="11" spans="1:30" ht="30" x14ac:dyDescent="0.25">
      <c r="A11" s="5">
        <f t="shared" si="8"/>
        <v>5</v>
      </c>
      <c r="B11" s="6" t="s">
        <v>52</v>
      </c>
      <c r="C11" s="6" t="s">
        <v>56</v>
      </c>
      <c r="D11" s="7">
        <v>45865</v>
      </c>
      <c r="E11" s="8" t="s">
        <v>55</v>
      </c>
      <c r="F11" s="9">
        <v>200</v>
      </c>
      <c r="G11" s="9">
        <f>IF(Table242830[[#This Row],[SPPU]]&gt;0,0,Table242830[[#This Row],[Total Purchase Amount]]/Table242830[[#This Row],[Purchase QTY]])</f>
        <v>1321</v>
      </c>
      <c r="H11" s="9">
        <v>264200</v>
      </c>
      <c r="I11" s="9">
        <v>0</v>
      </c>
      <c r="J11" s="9"/>
      <c r="K11" s="9">
        <f>Table242830[[#This Row],[Sales Qty]]*Table242830[[#This Row],[SPPU]]</f>
        <v>0</v>
      </c>
      <c r="L11" s="9">
        <f>Table242830[[#This Row],[Sales Qty]]*O9</f>
        <v>0</v>
      </c>
      <c r="M11" s="9">
        <f>M10+Table242830[[#This Row],[Total Purchase Amount]]-Table242830[[#This Row],[Principal Cost As per  NFRS (In case of Sales)]]</f>
        <v>2727450</v>
      </c>
      <c r="N11" s="9">
        <f>N10+Table242830[[#This Row],[Purchase QTY]]-Table242830[[#This Row],[Sales Qty]]</f>
        <v>2050</v>
      </c>
      <c r="O11" s="42">
        <f>IFERROR(Table242830[[#This Row],[TC AP NFRS]]/Table242830[[#This Row],[Unit Sum]],0)</f>
        <v>1330.4634146341464</v>
      </c>
      <c r="P11" s="10">
        <f>Table242830[[#This Row],[Sales Amt]]-Table242830[[#This Row],[Principal Cost As per  NFRS (In case of Sales)]]</f>
        <v>0</v>
      </c>
      <c r="R11" s="17">
        <f>39.63+871.86</f>
        <v>911.49</v>
      </c>
      <c r="S11" s="17">
        <v>25</v>
      </c>
      <c r="T11" s="20">
        <f t="shared" si="1"/>
        <v>936.49</v>
      </c>
      <c r="U11" s="20">
        <f t="shared" si="2"/>
        <v>265136.49</v>
      </c>
      <c r="V11" s="20">
        <v>0</v>
      </c>
      <c r="W11" s="20">
        <v>0</v>
      </c>
      <c r="X11" s="55">
        <f t="shared" si="3"/>
        <v>0</v>
      </c>
      <c r="Y11" s="20">
        <v>0</v>
      </c>
      <c r="Z11" s="20">
        <f t="shared" si="4"/>
        <v>0</v>
      </c>
      <c r="AA11" s="20">
        <f>I11*AC9</f>
        <v>0</v>
      </c>
      <c r="AB11" s="20">
        <f t="shared" si="6"/>
        <v>2736495.66</v>
      </c>
      <c r="AC11" s="20">
        <f t="shared" si="0"/>
        <v>1334.8759317073172</v>
      </c>
      <c r="AD11" s="56">
        <f t="shared" si="7"/>
        <v>0</v>
      </c>
    </row>
    <row r="12" spans="1:30" ht="30" x14ac:dyDescent="0.25">
      <c r="A12" s="5">
        <f t="shared" si="8"/>
        <v>6</v>
      </c>
      <c r="B12" s="6" t="s">
        <v>52</v>
      </c>
      <c r="C12" s="6" t="s">
        <v>123</v>
      </c>
      <c r="D12" s="7">
        <v>45865</v>
      </c>
      <c r="E12" s="8" t="s">
        <v>55</v>
      </c>
      <c r="F12" s="9">
        <v>700</v>
      </c>
      <c r="G12" s="9">
        <f>Table242830[[#This Row],[Total Purchase Amount]]/Table242830[[#This Row],[Purchase QTY]]</f>
        <v>1321.1428571428571</v>
      </c>
      <c r="H12" s="9">
        <v>924800</v>
      </c>
      <c r="I12" s="9"/>
      <c r="J12" s="9"/>
      <c r="K12" s="9">
        <f>Table242830[[#This Row],[Sales Qty]]*Table242830[[#This Row],[SPPU]]</f>
        <v>0</v>
      </c>
      <c r="L12" s="9"/>
      <c r="M12" s="9">
        <f>M11+Table242830[[#This Row],[Total Purchase Amount]]-Table242830[[#This Row],[Principal Cost As per  NFRS (In case of Sales)]]</f>
        <v>3652250</v>
      </c>
      <c r="N12" s="9">
        <f>N11+Table242830[[#This Row],[Purchase QTY]]-Table242830[[#This Row],[Sales Qty]]</f>
        <v>2750</v>
      </c>
      <c r="O12" s="42">
        <f>Table242830[[#This Row],[TC AP NFRS]]/Table242830[[#This Row],[Unit Sum]]</f>
        <v>1328.090909090909</v>
      </c>
      <c r="P12" s="10">
        <f>Table242830[[#This Row],[Sales Amt]]-Table242830[[#This Row],[Principal Cost As per  NFRS (In case of Sales)]]</f>
        <v>0</v>
      </c>
      <c r="R12" s="17">
        <f>2947.83+138.72</f>
        <v>3086.5499999999997</v>
      </c>
      <c r="S12" s="17">
        <v>25</v>
      </c>
      <c r="T12" s="20">
        <f t="shared" si="1"/>
        <v>3111.5499999999997</v>
      </c>
      <c r="U12" s="20">
        <f t="shared" si="2"/>
        <v>927911.55</v>
      </c>
      <c r="V12" s="20">
        <v>0</v>
      </c>
      <c r="W12" s="20">
        <v>0</v>
      </c>
      <c r="X12" s="55">
        <f t="shared" si="3"/>
        <v>0</v>
      </c>
      <c r="Y12" s="20">
        <v>0</v>
      </c>
      <c r="Z12" s="20">
        <f t="shared" si="4"/>
        <v>0</v>
      </c>
      <c r="AA12" s="20">
        <f t="shared" si="5"/>
        <v>0</v>
      </c>
      <c r="AB12" s="20">
        <f t="shared" si="6"/>
        <v>3664407.21</v>
      </c>
      <c r="AC12" s="20">
        <f t="shared" si="0"/>
        <v>1332.5117127272727</v>
      </c>
      <c r="AD12" s="56">
        <f t="shared" si="7"/>
        <v>0</v>
      </c>
    </row>
    <row r="13" spans="1:30" ht="30" x14ac:dyDescent="0.25">
      <c r="A13" s="5">
        <f t="shared" si="8"/>
        <v>7</v>
      </c>
      <c r="B13" s="6" t="s">
        <v>52</v>
      </c>
      <c r="C13" s="6" t="s">
        <v>160</v>
      </c>
      <c r="D13" s="7">
        <v>45876</v>
      </c>
      <c r="E13" s="8" t="s">
        <v>55</v>
      </c>
      <c r="F13" s="9">
        <v>500</v>
      </c>
      <c r="G13" s="9">
        <f>Table242830[[#This Row],[Total Purchase Amount]]/Table242830[[#This Row],[Purchase QTY]]</f>
        <v>1250</v>
      </c>
      <c r="H13" s="9">
        <v>625000</v>
      </c>
      <c r="I13" s="9"/>
      <c r="J13" s="9"/>
      <c r="K13" s="9">
        <f>Table242830[[#This Row],[Sales Qty]]*Table242830[[#This Row],[SPPU]]</f>
        <v>0</v>
      </c>
      <c r="L13" s="9"/>
      <c r="M13" s="9">
        <f>M12+Table242830[[#This Row],[Total Purchase Amount]]-Table242830[[#This Row],[Principal Cost As per  NFRS (In case of Sales)]]</f>
        <v>4277250</v>
      </c>
      <c r="N13" s="9">
        <f>N12+Table242830[[#This Row],[Purchase QTY]]-Table242830[[#This Row],[Sales Qty]]</f>
        <v>3250</v>
      </c>
      <c r="O13" s="42">
        <f>Table242830[[#This Row],[TC AP NFRS]]/Table242830[[#This Row],[Unit Sum]]</f>
        <v>1316.0769230769231</v>
      </c>
      <c r="P13" s="10">
        <f>Table242830[[#This Row],[Sales Amt]]-Table242830[[#This Row],[Principal Cost As per  NFRS (In case of Sales)]]</f>
        <v>0</v>
      </c>
      <c r="R13" s="17">
        <f>93.75+2077.13</f>
        <v>2170.88</v>
      </c>
      <c r="S13" s="17">
        <v>25</v>
      </c>
      <c r="T13" s="20">
        <f t="shared" si="1"/>
        <v>2195.88</v>
      </c>
      <c r="U13" s="20">
        <f t="shared" si="2"/>
        <v>627195.88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si="4"/>
        <v>0</v>
      </c>
      <c r="AA13" s="20">
        <f t="shared" si="5"/>
        <v>0</v>
      </c>
      <c r="AB13" s="20">
        <f t="shared" si="6"/>
        <v>4291603.09</v>
      </c>
      <c r="AC13" s="20">
        <f t="shared" si="0"/>
        <v>1320.4932584615385</v>
      </c>
      <c r="AD13" s="56">
        <f t="shared" si="7"/>
        <v>0</v>
      </c>
    </row>
    <row r="14" spans="1:30" ht="15.75" x14ac:dyDescent="0.25">
      <c r="A14" s="11" t="s">
        <v>22</v>
      </c>
      <c r="B14" s="12"/>
      <c r="C14" s="12"/>
      <c r="D14" s="13"/>
      <c r="E14" s="14"/>
      <c r="F14" s="15">
        <f ca="1">SUM(INDIRECT("f4:f"&amp;ROW()-1))</f>
        <v>4946</v>
      </c>
      <c r="G14" s="15">
        <f ca="1">Table242830[[#This Row],[Total Purchase Amount]]/Table242830[[#This Row],[Purchase QTY]]</f>
        <v>1283.1798301657907</v>
      </c>
      <c r="H14" s="15">
        <f ca="1">SUM(INDIRECT("h4:h"&amp;ROW()-1))</f>
        <v>6346607.4400000004</v>
      </c>
      <c r="I14" s="15">
        <f ca="1">SUM(INDIRECT("i4:i"&amp;ROW()-1))</f>
        <v>1696</v>
      </c>
      <c r="J14" s="15">
        <f ca="1">Table242830[[#This Row],[Sales Amt]]/Table242830[[#This Row],[Sales Qty]]</f>
        <v>1299</v>
      </c>
      <c r="K14" s="15">
        <f ca="1">SUM(INDIRECT("k4:k"&amp;ROW()-1))</f>
        <v>2203104</v>
      </c>
      <c r="L14" s="15">
        <f ca="1">SUM(INDIRECT("l4:l"&amp;ROW()-1))</f>
        <v>2069357.4400000002</v>
      </c>
      <c r="M14" s="15">
        <f ca="1">Table242830[[#This Row],[Total Purchase Amount]]-Table242830[[#This Row],[Principal Cost As per  NFRS (In case of Sales)]]</f>
        <v>4277250</v>
      </c>
      <c r="N14" s="15">
        <f ca="1">Table242830[[#This Row],[Purchase QTY]]-Table242830[[#This Row],[Sales Qty]]</f>
        <v>3250</v>
      </c>
      <c r="O14" s="43">
        <f ca="1">Table242830[[#This Row],[TC AP NFRS]]/Table242830[[#This Row],[Unit Sum]]</f>
        <v>1316.0769230769231</v>
      </c>
      <c r="P14" s="15">
        <f ca="1">SUM(INDIRECT("p4:p"&amp;ROW()-1))</f>
        <v>133746.55999999982</v>
      </c>
      <c r="R14" s="24">
        <f>SUM(R7:R13)</f>
        <v>14228.09</v>
      </c>
      <c r="S14" s="24">
        <f t="shared" ref="S14:AD14" si="14">SUM(S7:S13)</f>
        <v>125</v>
      </c>
      <c r="T14" s="24">
        <f t="shared" si="14"/>
        <v>14353.09</v>
      </c>
      <c r="U14" s="24">
        <f t="shared" si="14"/>
        <v>6418726.2899999991</v>
      </c>
      <c r="V14" s="24">
        <f t="shared" si="14"/>
        <v>6278.85</v>
      </c>
      <c r="W14" s="24">
        <f t="shared" si="14"/>
        <v>25</v>
      </c>
      <c r="X14" s="24">
        <f t="shared" si="14"/>
        <v>6303.85</v>
      </c>
      <c r="Y14" s="24">
        <f t="shared" si="14"/>
        <v>6967.7</v>
      </c>
      <c r="Z14" s="24">
        <f t="shared" si="14"/>
        <v>2189832.4499999997</v>
      </c>
      <c r="AA14" s="24">
        <f t="shared" si="14"/>
        <v>2127123.2000000002</v>
      </c>
      <c r="AB14" s="24">
        <f>U14-AA14</f>
        <v>4291603.0899999989</v>
      </c>
      <c r="AC14" s="24">
        <f ca="1">IFERROR(AB14/N14,0)</f>
        <v>1320.4932584615381</v>
      </c>
      <c r="AD14" s="24">
        <f t="shared" si="14"/>
        <v>69676.949999999531</v>
      </c>
    </row>
    <row r="16" spans="1:30" x14ac:dyDescent="0.25">
      <c r="A16" t="s">
        <v>882</v>
      </c>
      <c r="R16" s="120" t="s">
        <v>20</v>
      </c>
      <c r="S16" s="121"/>
      <c r="T16" s="121"/>
      <c r="U16" s="50"/>
      <c r="V16" s="120" t="s">
        <v>67</v>
      </c>
      <c r="W16" s="121"/>
      <c r="X16" s="121"/>
      <c r="Y16" s="123" t="s">
        <v>13</v>
      </c>
      <c r="Z16" s="124" t="s">
        <v>10</v>
      </c>
      <c r="AA16" s="125" t="s">
        <v>66</v>
      </c>
      <c r="AB16" s="123" t="s">
        <v>15</v>
      </c>
      <c r="AC16" s="123" t="s">
        <v>18</v>
      </c>
      <c r="AD16" s="123" t="s">
        <v>12</v>
      </c>
    </row>
    <row r="17" spans="1:30" ht="60" x14ac:dyDescent="0.25">
      <c r="A17" s="1" t="s">
        <v>57</v>
      </c>
      <c r="B17" s="2" t="s">
        <v>0</v>
      </c>
      <c r="C17" s="2" t="s">
        <v>53</v>
      </c>
      <c r="D17" s="2" t="s">
        <v>1</v>
      </c>
      <c r="E17" s="2" t="s">
        <v>2</v>
      </c>
      <c r="F17" s="2" t="s">
        <v>3</v>
      </c>
      <c r="G17" s="2" t="s">
        <v>4</v>
      </c>
      <c r="H17" s="2" t="s">
        <v>51</v>
      </c>
      <c r="I17" s="2" t="s">
        <v>6</v>
      </c>
      <c r="J17" s="16" t="s">
        <v>7</v>
      </c>
      <c r="K17" s="16" t="s">
        <v>8</v>
      </c>
      <c r="L17" s="2" t="s">
        <v>50</v>
      </c>
      <c r="M17" s="2" t="s">
        <v>14</v>
      </c>
      <c r="N17" s="2" t="s">
        <v>16</v>
      </c>
      <c r="O17" s="4" t="s">
        <v>17</v>
      </c>
      <c r="P17" s="3" t="s">
        <v>11</v>
      </c>
      <c r="R17" s="2" t="s">
        <v>65</v>
      </c>
      <c r="S17" s="2" t="s">
        <v>62</v>
      </c>
      <c r="T17" s="2" t="s">
        <v>5</v>
      </c>
      <c r="U17" s="2" t="s">
        <v>164</v>
      </c>
      <c r="V17" s="16" t="s">
        <v>64</v>
      </c>
      <c r="W17" s="16" t="s">
        <v>62</v>
      </c>
      <c r="X17" s="45" t="s">
        <v>9</v>
      </c>
      <c r="Y17" s="123"/>
      <c r="Z17" s="124"/>
      <c r="AA17" s="125"/>
      <c r="AB17" s="123"/>
      <c r="AC17" s="123"/>
      <c r="AD17" s="123"/>
    </row>
    <row r="18" spans="1:30" x14ac:dyDescent="0.25">
      <c r="A18" s="99">
        <v>1</v>
      </c>
      <c r="B18" s="97" t="s">
        <v>52</v>
      </c>
      <c r="C18" s="97"/>
      <c r="D18" s="98">
        <v>45886</v>
      </c>
      <c r="E18" s="99" t="s">
        <v>19</v>
      </c>
      <c r="F18" s="59">
        <v>4946</v>
      </c>
      <c r="G18" s="59">
        <v>1283.1798301657907</v>
      </c>
      <c r="H18" s="59">
        <v>6346607.4400000004</v>
      </c>
      <c r="I18" s="59">
        <v>1696</v>
      </c>
      <c r="J18" s="59">
        <v>1299</v>
      </c>
      <c r="K18" s="59">
        <v>2203104</v>
      </c>
      <c r="L18" s="59">
        <v>2069357.4400000002</v>
      </c>
      <c r="M18" s="59">
        <v>4277250</v>
      </c>
      <c r="N18" s="59">
        <v>3250</v>
      </c>
      <c r="O18" s="59">
        <v>1316.0769230769231</v>
      </c>
      <c r="P18" s="59">
        <v>133746.55999999982</v>
      </c>
      <c r="Q18" s="59"/>
      <c r="R18" s="59">
        <v>14228.09</v>
      </c>
      <c r="S18" s="59">
        <v>125</v>
      </c>
      <c r="T18" s="59">
        <v>14353.09</v>
      </c>
      <c r="U18" s="59">
        <v>6418726.2899999991</v>
      </c>
      <c r="V18" s="59">
        <v>6278.85</v>
      </c>
      <c r="W18" s="59">
        <v>25</v>
      </c>
      <c r="X18" s="59">
        <v>6303.85</v>
      </c>
      <c r="Y18" s="59">
        <v>6967.7</v>
      </c>
      <c r="Z18" s="59">
        <v>2189832.4499999997</v>
      </c>
      <c r="AA18" s="59">
        <v>2127123.2000000002</v>
      </c>
      <c r="AB18" s="59">
        <v>4291603.0899999989</v>
      </c>
      <c r="AC18" s="59">
        <v>1320.4932584615381</v>
      </c>
      <c r="AD18" s="59">
        <v>69676.949999999531</v>
      </c>
    </row>
    <row r="19" spans="1:30" ht="30" x14ac:dyDescent="0.25">
      <c r="A19" s="108">
        <v>2</v>
      </c>
      <c r="B19" s="97" t="s">
        <v>52</v>
      </c>
      <c r="C19" s="97" t="s">
        <v>899</v>
      </c>
      <c r="D19" s="98">
        <v>45895</v>
      </c>
      <c r="E19" t="s">
        <v>55</v>
      </c>
      <c r="F19" s="9">
        <v>164</v>
      </c>
      <c r="G19" s="9">
        <f>H19/F19</f>
        <v>1244.5</v>
      </c>
      <c r="H19" s="9">
        <v>204098</v>
      </c>
      <c r="I19" s="9"/>
      <c r="J19" s="9"/>
      <c r="K19" s="9"/>
      <c r="L19" s="9"/>
      <c r="M19" s="9">
        <f>M18+H19-L19</f>
        <v>4481348</v>
      </c>
      <c r="N19" s="9">
        <f>N18+F19-I19</f>
        <v>3414</v>
      </c>
      <c r="O19" s="42">
        <f>IFERROR(M19/N19,0)</f>
        <v>1312.638547158758</v>
      </c>
      <c r="P19" s="10"/>
      <c r="R19" s="17">
        <f>697.41+30.61</f>
        <v>728.02</v>
      </c>
      <c r="S19" s="17">
        <v>25</v>
      </c>
      <c r="T19" s="20">
        <f t="shared" ref="T19" si="15">R19+S19</f>
        <v>753.02</v>
      </c>
      <c r="U19" s="20">
        <f t="shared" ref="U19" si="16">H19+T19</f>
        <v>204851.02</v>
      </c>
      <c r="V19" s="20">
        <v>0</v>
      </c>
      <c r="W19" s="20"/>
      <c r="X19" s="55"/>
      <c r="Y19" s="20"/>
      <c r="Z19" s="20"/>
      <c r="AA19" s="20"/>
      <c r="AB19" s="20">
        <f t="shared" ref="AB19" si="17">AB18+U19-AA19</f>
        <v>4496454.1099999985</v>
      </c>
      <c r="AC19" s="20">
        <f t="shared" ref="AC19" si="18">IFERROR(AB19/N19,0)</f>
        <v>1317.0633011130635</v>
      </c>
      <c r="AD19" s="56">
        <f t="shared" ref="AD19" si="19">Z19-AA19+Y19</f>
        <v>0</v>
      </c>
    </row>
    <row r="20" spans="1:30" ht="30" x14ac:dyDescent="0.25">
      <c r="A20" s="108">
        <v>3</v>
      </c>
      <c r="B20" s="97" t="s">
        <v>52</v>
      </c>
      <c r="C20" s="97" t="s">
        <v>902</v>
      </c>
      <c r="D20" s="98">
        <v>45900</v>
      </c>
      <c r="E20" t="s">
        <v>55</v>
      </c>
      <c r="F20" s="9">
        <v>1000</v>
      </c>
      <c r="G20" s="9">
        <f>H20/F20</f>
        <v>1138.5</v>
      </c>
      <c r="H20" s="9">
        <v>1138500</v>
      </c>
      <c r="I20" s="9"/>
      <c r="J20" s="9"/>
      <c r="K20" s="9"/>
      <c r="L20" s="9"/>
      <c r="M20" s="9">
        <f>M19+H20-L20</f>
        <v>5619848</v>
      </c>
      <c r="N20" s="9">
        <f>N19+F20-I20</f>
        <v>4414</v>
      </c>
      <c r="O20" s="42">
        <f>IFERROR(M20/N20,0)</f>
        <v>1273.1871318531944</v>
      </c>
      <c r="P20" s="10"/>
      <c r="R20" s="17">
        <f>3642.65+170.78</f>
        <v>3813.4300000000003</v>
      </c>
      <c r="S20" s="17">
        <v>25</v>
      </c>
      <c r="T20" s="20">
        <f t="shared" ref="T20" si="20">R20+S20</f>
        <v>3838.4300000000003</v>
      </c>
      <c r="U20" s="20">
        <f t="shared" ref="U20" si="21">H20+T20</f>
        <v>1142338.43</v>
      </c>
      <c r="V20" s="20">
        <v>0</v>
      </c>
      <c r="W20" s="20"/>
      <c r="X20" s="55"/>
      <c r="Y20" s="20"/>
      <c r="Z20" s="20"/>
      <c r="AA20" s="20"/>
      <c r="AB20" s="20">
        <f t="shared" ref="AB20" si="22">AB19+U20-AA20</f>
        <v>5638792.5399999982</v>
      </c>
      <c r="AC20" s="20">
        <f t="shared" ref="AC20" si="23">IFERROR(AB20/N20,0)</f>
        <v>1277.4790530131395</v>
      </c>
      <c r="AD20" s="56">
        <f t="shared" ref="AD20" si="24">Z20-AA20+Y20</f>
        <v>0</v>
      </c>
    </row>
  </sheetData>
  <mergeCells count="16">
    <mergeCell ref="AB16:AB17"/>
    <mergeCell ref="AC16:AC17"/>
    <mergeCell ref="AD16:AD17"/>
    <mergeCell ref="R16:T16"/>
    <mergeCell ref="V16:X16"/>
    <mergeCell ref="Y16:Y17"/>
    <mergeCell ref="Z16:Z17"/>
    <mergeCell ref="AA16:AA17"/>
    <mergeCell ref="AC5:AC6"/>
    <mergeCell ref="AD5:AD6"/>
    <mergeCell ref="R5:T5"/>
    <mergeCell ref="V5:X5"/>
    <mergeCell ref="Y5:Y6"/>
    <mergeCell ref="Z5:Z6"/>
    <mergeCell ref="AA5:AA6"/>
    <mergeCell ref="AB5:AB6"/>
  </mergeCells>
  <phoneticPr fontId="9" type="noConversion"/>
  <pageMargins left="0.7" right="0.7" top="0.75" bottom="0.75" header="0.3" footer="0.3"/>
  <pageSetup scale="27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C26D3E9-95EB-4A3B-BAC1-816B6C5CD786}">
          <x14:formula1>
            <xm:f>VALIDATION!$A$2:$A$7</xm:f>
          </x14:formula1>
          <xm:sqref>E7:E13 E18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D030-AF83-49DE-B67B-626460376E1B}">
  <dimension ref="A1:AD14"/>
  <sheetViews>
    <sheetView view="pageBreakPreview" zoomScale="90" zoomScaleNormal="100" zoomScaleSheetLayoutView="90" workbookViewId="0">
      <selection activeCell="A12" sqref="A12:AD14"/>
    </sheetView>
  </sheetViews>
  <sheetFormatPr defaultRowHeight="15" x14ac:dyDescent="0.25"/>
  <cols>
    <col min="1" max="1" width="4.140625" customWidth="1"/>
    <col min="2" max="2" width="8.140625" bestFit="1" customWidth="1"/>
    <col min="3" max="3" width="18.5703125" customWidth="1"/>
    <col min="4" max="4" width="10.28515625" bestFit="1" customWidth="1"/>
    <col min="6" max="6" width="11" bestFit="1" customWidth="1"/>
    <col min="7" max="7" width="8" bestFit="1" customWidth="1"/>
    <col min="8" max="8" width="15.42578125" bestFit="1" customWidth="1"/>
    <col min="9" max="9" width="10.85546875" bestFit="1" customWidth="1"/>
    <col min="10" max="10" width="9.42578125" bestFit="1" customWidth="1"/>
    <col min="11" max="11" width="15.140625" customWidth="1"/>
    <col min="12" max="12" width="15.42578125" bestFit="1" customWidth="1"/>
    <col min="13" max="13" width="13.140625" customWidth="1"/>
    <col min="14" max="14" width="9.42578125" bestFit="1" customWidth="1"/>
    <col min="15" max="15" width="11.42578125" bestFit="1" customWidth="1"/>
    <col min="16" max="16" width="15.140625" bestFit="1" customWidth="1"/>
    <col min="17" max="17" width="4.85546875" customWidth="1"/>
    <col min="18" max="18" width="7.85546875" customWidth="1"/>
    <col min="21" max="21" width="15.140625" bestFit="1" customWidth="1"/>
    <col min="22" max="22" width="12.140625" bestFit="1" customWidth="1"/>
    <col min="24" max="24" width="11.42578125" bestFit="1" customWidth="1"/>
    <col min="25" max="25" width="13.42578125" customWidth="1"/>
    <col min="26" max="26" width="15.5703125" bestFit="1" customWidth="1"/>
    <col min="27" max="27" width="19.42578125" customWidth="1"/>
    <col min="28" max="28" width="16.42578125" bestFit="1" customWidth="1"/>
    <col min="29" max="29" width="13" bestFit="1" customWidth="1"/>
    <col min="30" max="30" width="13.2851562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57.95" customHeight="1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x14ac:dyDescent="0.25">
      <c r="A7" s="5">
        <v>1</v>
      </c>
      <c r="B7" s="6" t="s">
        <v>59</v>
      </c>
      <c r="C7" s="6"/>
      <c r="D7" s="7">
        <v>45855</v>
      </c>
      <c r="E7" s="8" t="s">
        <v>19</v>
      </c>
      <c r="F7" s="9">
        <v>2010</v>
      </c>
      <c r="G7" s="9">
        <v>799.08</v>
      </c>
      <c r="H7" s="9">
        <f>Table2428308[[#This Row],[PPPU]]*Table2428308[[#This Row],[Purchase QTY]]</f>
        <v>1606150.8</v>
      </c>
      <c r="I7" s="9"/>
      <c r="J7" s="9"/>
      <c r="K7" s="9"/>
      <c r="L7" s="9"/>
      <c r="M7" s="9">
        <f>Table2428308[[#This Row],[Total Purchase Amount]]</f>
        <v>1606150.8</v>
      </c>
      <c r="N7" s="9">
        <f>IF(Table2428308[[#This Row],[Txn Type]]="opening",Table2428308[[#This Row],[Purchase QTY]],"Error")</f>
        <v>2010</v>
      </c>
      <c r="O7" s="42">
        <f>IFERROR(Table2428308[[#This Row],[TC AP NFRS]]/Table2428308[[#This Row],[Unit Sum]],0)</f>
        <v>799.08</v>
      </c>
      <c r="P7" s="10">
        <f>Table2428308[[#This Row],[Sales Amt]]-Table2428308[[#This Row],[Principal Cost As per  NFRS (In case of Sales)]]</f>
        <v>0</v>
      </c>
      <c r="R7" s="20"/>
      <c r="S7" s="20"/>
      <c r="T7" s="20">
        <f>R7+S7</f>
        <v>0</v>
      </c>
      <c r="U7" s="20">
        <f>AB7</f>
        <v>1688239.2</v>
      </c>
      <c r="V7" s="20"/>
      <c r="W7" s="20"/>
      <c r="X7" s="20"/>
      <c r="Y7" s="46"/>
      <c r="Z7" s="46"/>
      <c r="AA7" s="46"/>
      <c r="AB7" s="46">
        <f>F7*AC7</f>
        <v>1688239.2</v>
      </c>
      <c r="AC7" s="46">
        <v>839.92</v>
      </c>
      <c r="AD7" s="56"/>
    </row>
    <row r="8" spans="1:30" ht="30" x14ac:dyDescent="0.25">
      <c r="A8" s="5">
        <v>2</v>
      </c>
      <c r="B8" s="6" t="s">
        <v>59</v>
      </c>
      <c r="C8" s="6" t="s">
        <v>97</v>
      </c>
      <c r="D8" s="7">
        <v>45859</v>
      </c>
      <c r="E8" s="8" t="s">
        <v>21</v>
      </c>
      <c r="F8" s="9">
        <v>0</v>
      </c>
      <c r="G8" s="9">
        <f>IF(Table2428308[[#This Row],[SPPU]]&gt;0,0,Table2428308[[#This Row],[Total Purchase Amount]]/Table2428308[[#This Row],[Purchase QTY]])</f>
        <v>0</v>
      </c>
      <c r="H8" s="9">
        <v>0</v>
      </c>
      <c r="I8" s="9">
        <v>1700</v>
      </c>
      <c r="J8" s="9">
        <f>Table2428308[[#This Row],[Sales Amt]]/Table2428308[[#This Row],[Sales Qty]]</f>
        <v>893.17647058823525</v>
      </c>
      <c r="K8" s="9">
        <v>1518400</v>
      </c>
      <c r="L8" s="9">
        <f>Table2428308[[#This Row],[Sales Qty]]*O7</f>
        <v>1358436</v>
      </c>
      <c r="M8" s="9">
        <f>M7+Table2428308[[#This Row],[Total Purchase Amount]]-Table2428308[[#This Row],[Principal Cost As per  NFRS (In case of Sales)]]</f>
        <v>247714.80000000005</v>
      </c>
      <c r="N8" s="9">
        <f>N7+Table2428308[[#This Row],[Purchase QTY]]-Table2428308[[#This Row],[Sales Qty]]</f>
        <v>310</v>
      </c>
      <c r="O8" s="42">
        <f>IFERROR(Table2428308[[#This Row],[TC AP NFRS]]/Table2428308[[#This Row],[Unit Sum]],0)</f>
        <v>799.08000000000015</v>
      </c>
      <c r="P8" s="10">
        <f>Table2428308[[#This Row],[Sales Amt]]-Table2428308[[#This Row],[Principal Cost As per  NFRS (In case of Sales)]]</f>
        <v>159964</v>
      </c>
      <c r="R8" s="20">
        <v>0</v>
      </c>
      <c r="S8" s="20"/>
      <c r="T8" s="20">
        <f>R8+S8</f>
        <v>0</v>
      </c>
      <c r="U8" s="20">
        <f>H8+T8</f>
        <v>0</v>
      </c>
      <c r="V8" s="20">
        <f>5034.57+227.77</f>
        <v>5262.34</v>
      </c>
      <c r="W8" s="20">
        <v>25</v>
      </c>
      <c r="X8" s="55">
        <f>V8+W8</f>
        <v>5287.34</v>
      </c>
      <c r="Y8" s="20">
        <v>8525.7199999999993</v>
      </c>
      <c r="Z8" s="20">
        <f>K8-X8-Y8</f>
        <v>1504586.94</v>
      </c>
      <c r="AA8" s="20">
        <f>I8*AC7</f>
        <v>1427864</v>
      </c>
      <c r="AB8" s="20">
        <f>AB7+U8-AA8</f>
        <v>260375.19999999995</v>
      </c>
      <c r="AC8" s="20">
        <f>IFERROR(AB8/N8,0)</f>
        <v>839.91999999999985</v>
      </c>
      <c r="AD8" s="56">
        <f>Z8-AA8+Y8</f>
        <v>85248.659999999945</v>
      </c>
    </row>
    <row r="9" spans="1:30" ht="30" x14ac:dyDescent="0.25">
      <c r="A9" s="5">
        <v>3</v>
      </c>
      <c r="B9" s="6" t="s">
        <v>59</v>
      </c>
      <c r="C9" s="6" t="s">
        <v>102</v>
      </c>
      <c r="D9" s="7">
        <v>45495</v>
      </c>
      <c r="E9" s="8" t="s">
        <v>21</v>
      </c>
      <c r="F9" s="9">
        <v>0</v>
      </c>
      <c r="G9" s="9">
        <f>IF(Table2428308[[#This Row],[SPPU]]&gt;=0,0,Table2428308[[#This Row],[Total Purchase Amount]]/Table2428308[[#This Row],[Purchase QTY]])</f>
        <v>0</v>
      </c>
      <c r="H9" s="9">
        <v>0</v>
      </c>
      <c r="I9" s="9">
        <v>310</v>
      </c>
      <c r="J9" s="9">
        <f>IFERROR(Table2428308[[#This Row],[Sales Amt]]/Table2428308[[#This Row],[Sales Qty]],0)</f>
        <v>1007</v>
      </c>
      <c r="K9" s="9">
        <v>312170</v>
      </c>
      <c r="L9" s="9">
        <f>Table2428308[[#This Row],[Sales Qty]]*O8</f>
        <v>247714.80000000005</v>
      </c>
      <c r="M9" s="9">
        <f>M8+Table2428308[[#This Row],[Total Purchase Amount]]-Table2428308[[#This Row],[Principal Cost As per  NFRS (In case of Sales)]]</f>
        <v>0</v>
      </c>
      <c r="N9" s="9">
        <f>N8+Table2428308[[#This Row],[Purchase QTY]]-Table2428308[[#This Row],[Sales Qty]]</f>
        <v>0</v>
      </c>
      <c r="O9" s="42">
        <f>IFERROR(Table2428308[[#This Row],[TC AP NFRS]]/Table2428308[[#This Row],[Unit Sum]],0)</f>
        <v>0</v>
      </c>
      <c r="P9" s="10">
        <f>Table2428308[[#This Row],[Sales Amt]]-Table2428308[[#This Row],[Principal Cost As per  NFRS (In case of Sales)]]</f>
        <v>64455.199999999953</v>
      </c>
      <c r="R9" s="20">
        <v>0</v>
      </c>
      <c r="S9" s="20"/>
      <c r="T9" s="20">
        <f>R9+S9</f>
        <v>0</v>
      </c>
      <c r="U9" s="20">
        <f>H9+T9</f>
        <v>0</v>
      </c>
      <c r="V9" s="20">
        <f>1030.16+46.83</f>
        <v>1076.99</v>
      </c>
      <c r="W9" s="20">
        <v>25</v>
      </c>
      <c r="X9" s="55">
        <f>V9+W9</f>
        <v>1101.99</v>
      </c>
      <c r="Y9" s="20">
        <v>5069.4399999999996</v>
      </c>
      <c r="Z9" s="20">
        <f>K9-X9-Y9</f>
        <v>305998.57</v>
      </c>
      <c r="AA9" s="20">
        <f>I9*AC8</f>
        <v>260375.19999999995</v>
      </c>
      <c r="AB9" s="20">
        <f>AB8+U9-AA9</f>
        <v>0</v>
      </c>
      <c r="AC9" s="20">
        <f>IFERROR(AB9/N9,0)</f>
        <v>0</v>
      </c>
      <c r="AD9" s="56">
        <f>Z9-AA9+Y9</f>
        <v>50692.810000000056</v>
      </c>
    </row>
    <row r="10" spans="1:30" ht="15.75" x14ac:dyDescent="0.25">
      <c r="A10" s="11" t="s">
        <v>22</v>
      </c>
      <c r="B10" s="12"/>
      <c r="C10" s="12"/>
      <c r="D10" s="13"/>
      <c r="E10" s="14"/>
      <c r="F10" s="15">
        <f>SUM(F7:F9)</f>
        <v>2010</v>
      </c>
      <c r="G10" s="15"/>
      <c r="H10" s="15">
        <f>SUM(H7:H9)</f>
        <v>1606150.8</v>
      </c>
      <c r="I10" s="15">
        <f>SUM(I7:I9)</f>
        <v>2010</v>
      </c>
      <c r="J10" s="15">
        <f>Table2428308[[#This Row],[Sales Amt]]/Table2428308[[#This Row],[Sales Qty]]</f>
        <v>910.73134328358208</v>
      </c>
      <c r="K10" s="15">
        <f>SUBTOTAL(109,K7:K9)</f>
        <v>1830570</v>
      </c>
      <c r="L10" s="15">
        <f>SUBTOTAL(109,L7:L9)</f>
        <v>1606150.8</v>
      </c>
      <c r="M10" s="15">
        <f>Table2428308[[#This Row],[Total Purchase Amount]]-Table2428308[[#This Row],[Principal Cost As per  NFRS (In case of Sales)]]</f>
        <v>0</v>
      </c>
      <c r="N10" s="15">
        <f>Table2428308[[#This Row],[Purchase QTY]]-Table2428308[[#This Row],[Sales Qty]]</f>
        <v>0</v>
      </c>
      <c r="O10" s="43">
        <f>IFERROR(Table2428308[[#This Row],[TC AP NFRS]]/Table2428308[[#This Row],[Unit Sum]],0)</f>
        <v>0</v>
      </c>
      <c r="P10" s="15">
        <f>SUM(P7:P9)</f>
        <v>224419.19999999995</v>
      </c>
      <c r="R10" s="25">
        <f>SUM(R7:R9)</f>
        <v>0</v>
      </c>
      <c r="S10" s="25">
        <f>SUM(S7:S9)</f>
        <v>0</v>
      </c>
      <c r="T10" s="25">
        <f>SUM(T7:T9)</f>
        <v>0</v>
      </c>
      <c r="U10" s="25">
        <f>SUM(U7:U9)</f>
        <v>1688239.2</v>
      </c>
      <c r="V10" s="25">
        <f>SUM(V8:V9)</f>
        <v>6339.33</v>
      </c>
      <c r="W10" s="24">
        <f t="shared" ref="W10:AA10" si="0">SUM(W7:W9)</f>
        <v>50</v>
      </c>
      <c r="X10" s="24">
        <f t="shared" si="0"/>
        <v>6389.33</v>
      </c>
      <c r="Y10" s="24">
        <f t="shared" si="0"/>
        <v>13595.16</v>
      </c>
      <c r="Z10" s="24">
        <f t="shared" si="0"/>
        <v>1810585.51</v>
      </c>
      <c r="AA10" s="24">
        <f t="shared" si="0"/>
        <v>1688239.2</v>
      </c>
      <c r="AB10" s="24">
        <f>U10-AA10</f>
        <v>0</v>
      </c>
      <c r="AC10" s="24">
        <f>IFERROR(AB10/Table2428308[[#This Row],[Unit Sum]],0)</f>
        <v>0</v>
      </c>
      <c r="AD10" s="25">
        <f>SUM(AD8:AD9)</f>
        <v>135941.47</v>
      </c>
    </row>
    <row r="12" spans="1:30" x14ac:dyDescent="0.25">
      <c r="A12" t="s">
        <v>882</v>
      </c>
      <c r="R12" s="120" t="s">
        <v>20</v>
      </c>
      <c r="S12" s="121"/>
      <c r="T12" s="121"/>
      <c r="U12" s="50"/>
      <c r="V12" s="120" t="s">
        <v>67</v>
      </c>
      <c r="W12" s="121"/>
      <c r="X12" s="121"/>
      <c r="Y12" s="123" t="s">
        <v>13</v>
      </c>
      <c r="Z12" s="124" t="s">
        <v>10</v>
      </c>
      <c r="AA12" s="125" t="s">
        <v>66</v>
      </c>
      <c r="AB12" s="123" t="s">
        <v>15</v>
      </c>
      <c r="AC12" s="123" t="s">
        <v>18</v>
      </c>
      <c r="AD12" s="123" t="s">
        <v>12</v>
      </c>
    </row>
    <row r="13" spans="1:30" ht="75" x14ac:dyDescent="0.25">
      <c r="A13" s="1" t="s">
        <v>57</v>
      </c>
      <c r="B13" s="2" t="s">
        <v>0</v>
      </c>
      <c r="C13" s="2" t="s">
        <v>53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51</v>
      </c>
      <c r="I13" s="2" t="s">
        <v>6</v>
      </c>
      <c r="J13" s="16" t="s">
        <v>7</v>
      </c>
      <c r="K13" s="16" t="s">
        <v>8</v>
      </c>
      <c r="L13" s="2" t="s">
        <v>50</v>
      </c>
      <c r="M13" s="2" t="s">
        <v>14</v>
      </c>
      <c r="N13" s="2" t="s">
        <v>16</v>
      </c>
      <c r="O13" s="4" t="s">
        <v>17</v>
      </c>
      <c r="P13" s="3" t="s">
        <v>11</v>
      </c>
      <c r="R13" s="2" t="s">
        <v>65</v>
      </c>
      <c r="S13" s="2" t="s">
        <v>62</v>
      </c>
      <c r="T13" s="2" t="s">
        <v>5</v>
      </c>
      <c r="U13" s="2" t="s">
        <v>164</v>
      </c>
      <c r="V13" s="16" t="s">
        <v>64</v>
      </c>
      <c r="W13" s="16" t="s">
        <v>62</v>
      </c>
      <c r="X13" s="45" t="s">
        <v>9</v>
      </c>
      <c r="Y13" s="123"/>
      <c r="Z13" s="124"/>
      <c r="AA13" s="125"/>
      <c r="AB13" s="123"/>
      <c r="AC13" s="123"/>
      <c r="AD13" s="123"/>
    </row>
    <row r="14" spans="1:30" x14ac:dyDescent="0.25">
      <c r="A14" s="96">
        <v>1</v>
      </c>
      <c r="B14" s="97" t="s">
        <v>59</v>
      </c>
      <c r="C14" s="97"/>
      <c r="D14" s="98">
        <v>45886</v>
      </c>
      <c r="E14" s="99" t="s">
        <v>19</v>
      </c>
      <c r="F14" s="59">
        <v>2010</v>
      </c>
      <c r="G14" s="59"/>
      <c r="H14" s="59">
        <v>1606150.8</v>
      </c>
      <c r="I14" s="59">
        <v>2010</v>
      </c>
      <c r="J14" s="59">
        <v>910.73134328358208</v>
      </c>
      <c r="K14" s="59">
        <v>1830570</v>
      </c>
      <c r="L14" s="59">
        <v>1606150.8</v>
      </c>
      <c r="M14" s="59">
        <v>0</v>
      </c>
      <c r="N14" s="59">
        <v>0</v>
      </c>
      <c r="O14" s="59">
        <v>0</v>
      </c>
      <c r="P14" s="59">
        <v>224419.19999999995</v>
      </c>
      <c r="Q14" s="59"/>
      <c r="R14" s="59">
        <v>0</v>
      </c>
      <c r="S14" s="59">
        <v>0</v>
      </c>
      <c r="T14" s="59">
        <v>0</v>
      </c>
      <c r="U14" s="59">
        <v>1688239.2</v>
      </c>
      <c r="V14" s="59">
        <v>6339.33</v>
      </c>
      <c r="W14" s="59">
        <v>50</v>
      </c>
      <c r="X14" s="59">
        <v>6389.33</v>
      </c>
      <c r="Y14" s="59">
        <v>13595.16</v>
      </c>
      <c r="Z14" s="59">
        <v>1810585.51</v>
      </c>
      <c r="AA14" s="59">
        <v>1688239.2</v>
      </c>
      <c r="AB14" s="59">
        <v>0</v>
      </c>
      <c r="AC14" s="59">
        <v>0</v>
      </c>
      <c r="AD14" s="59">
        <v>135941.47</v>
      </c>
    </row>
  </sheetData>
  <mergeCells count="16">
    <mergeCell ref="AB12:AB13"/>
    <mergeCell ref="AC12:AC13"/>
    <mergeCell ref="AD12:AD13"/>
    <mergeCell ref="R12:T12"/>
    <mergeCell ref="V12:X12"/>
    <mergeCell ref="Y12:Y13"/>
    <mergeCell ref="Z12:Z13"/>
    <mergeCell ref="AA12:AA13"/>
    <mergeCell ref="AB5:AB6"/>
    <mergeCell ref="AC5:AC6"/>
    <mergeCell ref="AD5:AD6"/>
    <mergeCell ref="R5:T5"/>
    <mergeCell ref="V5:X5"/>
    <mergeCell ref="Y5:Y6"/>
    <mergeCell ref="Z5:Z6"/>
    <mergeCell ref="AA5:AA6"/>
  </mergeCells>
  <pageMargins left="0.19685039370078741" right="0.19685039370078741" top="0.74803149606299213" bottom="0.74803149606299213" header="0.31496062992125984" footer="0.31496062992125984"/>
  <pageSetup paperSize="9" scale="53" orientation="landscape" horizontalDpi="300" verticalDpi="300" r:id="rId1"/>
  <colBreaks count="1" manualBreakCount="1">
    <brk id="29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652ECC-41AF-4B53-B644-5FD7DE07ED90}">
          <x14:formula1>
            <xm:f>VALIDATION!$A$2:$A$7</xm:f>
          </x14:formula1>
          <xm:sqref>E7:E9 E14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3758-B2C6-44DA-9B9B-0419AF73F487}">
  <sheetPr>
    <pageSetUpPr fitToPage="1"/>
  </sheetPr>
  <dimension ref="A1:AE15"/>
  <sheetViews>
    <sheetView view="pageBreakPreview" topLeftCell="A3" zoomScaleNormal="100" zoomScaleSheetLayoutView="100" workbookViewId="0">
      <selection activeCell="C16" sqref="C16"/>
    </sheetView>
  </sheetViews>
  <sheetFormatPr defaultRowHeight="15" x14ac:dyDescent="0.25"/>
  <cols>
    <col min="1" max="1" width="31.5703125" bestFit="1" customWidth="1"/>
    <col min="2" max="2" width="8.28515625" bestFit="1" customWidth="1"/>
    <col min="3" max="3" width="17.5703125" bestFit="1" customWidth="1"/>
    <col min="4" max="4" width="10.5703125" bestFit="1" customWidth="1"/>
    <col min="5" max="5" width="9.7109375" bestFit="1" customWidth="1"/>
    <col min="6" max="6" width="16.5703125" bestFit="1" customWidth="1"/>
    <col min="7" max="7" width="9.42578125" bestFit="1" customWidth="1"/>
    <col min="8" max="8" width="19.85546875" bestFit="1" customWidth="1"/>
    <col min="9" max="9" width="16.5703125" bestFit="1" customWidth="1"/>
    <col min="10" max="10" width="13.7109375" bestFit="1" customWidth="1"/>
    <col min="11" max="12" width="19.85546875" bestFit="1" customWidth="1"/>
    <col min="13" max="13" width="13.42578125" bestFit="1" customWidth="1"/>
    <col min="14" max="14" width="10.5703125" bestFit="1" customWidth="1"/>
    <col min="15" max="15" width="10.28515625" bestFit="1" customWidth="1"/>
    <col min="16" max="16" width="18.7109375" bestFit="1" customWidth="1"/>
    <col min="17" max="17" width="3.5703125" customWidth="1"/>
    <col min="18" max="18" width="9.85546875" bestFit="1" customWidth="1"/>
    <col min="19" max="19" width="9.7109375" bestFit="1" customWidth="1"/>
    <col min="20" max="20" width="12" bestFit="1" customWidth="1"/>
    <col min="21" max="21" width="19.85546875" bestFit="1" customWidth="1"/>
    <col min="22" max="22" width="13.28515625" bestFit="1" customWidth="1"/>
    <col min="23" max="23" width="12.5703125" bestFit="1" customWidth="1"/>
    <col min="24" max="24" width="13.7109375" bestFit="1" customWidth="1"/>
    <col min="25" max="25" width="22.28515625" bestFit="1" customWidth="1"/>
    <col min="26" max="26" width="23" bestFit="1" customWidth="1"/>
    <col min="27" max="27" width="45.140625" bestFit="1" customWidth="1"/>
    <col min="28" max="28" width="16.28515625" bestFit="1" customWidth="1"/>
    <col min="29" max="29" width="20.5703125" bestFit="1" customWidth="1"/>
    <col min="30" max="30" width="18.285156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60</v>
      </c>
      <c r="C7" s="6"/>
      <c r="D7" s="7">
        <v>45855</v>
      </c>
      <c r="E7" s="8" t="s">
        <v>19</v>
      </c>
      <c r="F7" s="9">
        <v>1893</v>
      </c>
      <c r="G7" s="9">
        <v>292.61</v>
      </c>
      <c r="H7" s="9">
        <f>Table24283089[[#This Row],[PPPU]]*Table24283089[[#This Row],[Purchase QTY]]</f>
        <v>553910.73</v>
      </c>
      <c r="I7" s="9"/>
      <c r="J7" s="9"/>
      <c r="K7" s="9"/>
      <c r="L7" s="9"/>
      <c r="M7" s="9">
        <f>Table24283089[[#This Row],[Total Purchase Amount]]</f>
        <v>553910.73</v>
      </c>
      <c r="N7" s="9">
        <f>IF(Table24283089[[#This Row],[Txn Type]]="opening",Table24283089[[#This Row],[Purchase QTY]],"Error")</f>
        <v>1893</v>
      </c>
      <c r="O7" s="42">
        <f>IFERROR(Table24283089[[#This Row],[TC AP NFRS]]/Table24283089[[#This Row],[Unit Sum]],0)</f>
        <v>292.61</v>
      </c>
      <c r="P7" s="10">
        <f>Table24283089[[#This Row],[Sales Amt]]-Table24283089[[#This Row],[Principal Cost As per  NFRS (In case of Sales)]]</f>
        <v>0</v>
      </c>
      <c r="R7" s="17"/>
      <c r="S7" s="17"/>
      <c r="T7" s="20">
        <f>R7+S7</f>
        <v>0</v>
      </c>
      <c r="U7" s="20">
        <f>AB7</f>
        <v>549133.23560001655</v>
      </c>
      <c r="V7" s="20"/>
      <c r="W7" s="20"/>
      <c r="X7" s="20"/>
      <c r="Y7" s="46"/>
      <c r="Z7" s="46"/>
      <c r="AA7" s="46"/>
      <c r="AB7" s="46">
        <f>Table24283089[[#This Row],[Purchase QTY]]*AC7</f>
        <v>549133.23560001655</v>
      </c>
      <c r="AC7" s="46">
        <v>290.08623116746782</v>
      </c>
      <c r="AD7" s="56"/>
    </row>
    <row r="8" spans="1:31" ht="30" x14ac:dyDescent="0.25">
      <c r="A8" s="5">
        <v>2</v>
      </c>
      <c r="B8" s="6" t="s">
        <v>60</v>
      </c>
      <c r="C8" s="6" t="s">
        <v>61</v>
      </c>
      <c r="D8" s="7">
        <v>45855</v>
      </c>
      <c r="E8" s="8" t="s">
        <v>21</v>
      </c>
      <c r="F8" s="9">
        <v>0</v>
      </c>
      <c r="G8" s="9">
        <f>IF(Table24283089[[#This Row],[SPPU]]&gt;0,0,Table24283089[[#This Row],[Total Purchase Amount]]/Table24283089[[#This Row],[Purchase QTY]])</f>
        <v>0</v>
      </c>
      <c r="H8" s="9">
        <v>0</v>
      </c>
      <c r="I8" s="9">
        <v>100</v>
      </c>
      <c r="J8" s="9">
        <f>Table24283089[[#This Row],[Sales Amt]]/Table24283089[[#This Row],[Sales Qty]]</f>
        <v>306.8</v>
      </c>
      <c r="K8" s="9">
        <v>30680</v>
      </c>
      <c r="L8" s="9">
        <f>Table24283089[[#This Row],[Sales Qty]]*O7</f>
        <v>29261</v>
      </c>
      <c r="M8" s="9">
        <f>M7+Table24283089[[#This Row],[Total Purchase Amount]]-Table24283089[[#This Row],[Principal Cost As per  NFRS (In case of Sales)]]</f>
        <v>524649.73</v>
      </c>
      <c r="N8" s="9">
        <f>N7+Table24283089[[#This Row],[Purchase QTY]]-Table24283089[[#This Row],[Sales Qty]]</f>
        <v>1793</v>
      </c>
      <c r="O8" s="42">
        <f>IFERROR(Table24283089[[#This Row],[TC AP NFRS]]/Table24283089[[#This Row],[Unit Sum]],0)</f>
        <v>292.61</v>
      </c>
      <c r="P8" s="10">
        <f>Table24283089[[#This Row],[Sales Amt]]-Table24283089[[#This Row],[Principal Cost As per  NFRS (In case of Sales)]]</f>
        <v>1419</v>
      </c>
      <c r="R8" s="17">
        <v>0</v>
      </c>
      <c r="S8" s="17"/>
      <c r="T8" s="20">
        <f>R8+S8</f>
        <v>0</v>
      </c>
      <c r="U8" s="20">
        <f>Table24283089[[#This Row],[Total Purchase Amount]]+T8</f>
        <v>0</v>
      </c>
      <c r="V8" s="20">
        <f>110.45+4.6</f>
        <v>115.05</v>
      </c>
      <c r="W8" s="20">
        <v>25</v>
      </c>
      <c r="X8" s="55">
        <f>V8+W8</f>
        <v>140.05000000000001</v>
      </c>
      <c r="Y8" s="20">
        <v>153.13999999999999</v>
      </c>
      <c r="Z8" s="20">
        <f>Table24283089[[#This Row],[Sales Amt]]-X8-Y8</f>
        <v>30386.81</v>
      </c>
      <c r="AA8" s="20">
        <f>Table24283089[[#This Row],[Sales Qty]]*AC7</f>
        <v>29008.623116746781</v>
      </c>
      <c r="AB8" s="20">
        <f>AB7+U8-AA8</f>
        <v>520124.61248326977</v>
      </c>
      <c r="AC8" s="20">
        <f>AB8/Table24283089[[#This Row],[Unit Sum]]</f>
        <v>290.08623116746782</v>
      </c>
      <c r="AD8" s="56">
        <f>Z8-AA8+Y8</f>
        <v>1531.3268832532199</v>
      </c>
    </row>
    <row r="9" spans="1:31" ht="30" x14ac:dyDescent="0.25">
      <c r="A9" s="5">
        <v>3</v>
      </c>
      <c r="B9" s="6" t="s">
        <v>60</v>
      </c>
      <c r="C9" s="6" t="s">
        <v>68</v>
      </c>
      <c r="D9" s="7">
        <v>45493</v>
      </c>
      <c r="E9" s="8" t="s">
        <v>21</v>
      </c>
      <c r="F9" s="9">
        <v>0</v>
      </c>
      <c r="G9" s="9">
        <f>IF(Table24283089[[#This Row],[SPPU]]&gt;=0,0,Table24283089[[#This Row],[Total Purchase Amount]]/Table24283089[[#This Row],[Purchase QTY]])</f>
        <v>0</v>
      </c>
      <c r="H9" s="9">
        <v>0</v>
      </c>
      <c r="I9" s="9">
        <v>1793</v>
      </c>
      <c r="J9" s="9">
        <f>IFERROR(Table24283089[[#This Row],[Sales Amt]]/Table24283089[[#This Row],[Sales Qty]],0)</f>
        <v>314.49023982152818</v>
      </c>
      <c r="K9" s="9">
        <v>563881</v>
      </c>
      <c r="L9" s="9">
        <f>Table24283089[[#This Row],[Sales Qty]]*O8</f>
        <v>524649.73</v>
      </c>
      <c r="M9" s="9">
        <f>M8+Table24283089[[#This Row],[Total Purchase Amount]]-Table24283089[[#This Row],[Principal Cost As per  NFRS (In case of Sales)]]</f>
        <v>0</v>
      </c>
      <c r="N9" s="9">
        <f>N8+Table24283089[[#This Row],[Purchase QTY]]-Table24283089[[#This Row],[Sales Qty]]</f>
        <v>0</v>
      </c>
      <c r="O9" s="42">
        <f>IFERROR(Table24283089[[#This Row],[TC AP NFRS]]/Table24283089[[#This Row],[Unit Sum]],0)</f>
        <v>0</v>
      </c>
      <c r="P9" s="10">
        <f>Table24283089[[#This Row],[Sales Amt]]-Table24283089[[#This Row],[Principal Cost As per  NFRS (In case of Sales)]]</f>
        <v>39231.270000000019</v>
      </c>
      <c r="R9" s="17"/>
      <c r="S9" s="17"/>
      <c r="T9" s="20"/>
      <c r="U9" s="20">
        <f>Table24283089[[#This Row],[Total Purchase Amount]]+T9</f>
        <v>0</v>
      </c>
      <c r="V9" s="20">
        <f>1882.84+84.58</f>
        <v>1967.4199999999998</v>
      </c>
      <c r="W9" s="20">
        <v>25</v>
      </c>
      <c r="X9" s="55">
        <f>V9+W9</f>
        <v>1992.4199999999998</v>
      </c>
      <c r="Y9" s="20">
        <v>4176.45</v>
      </c>
      <c r="Z9" s="20">
        <f>Table24283089[[#This Row],[Sales Amt]]-X9-Y9</f>
        <v>557712.13</v>
      </c>
      <c r="AA9" s="20">
        <f>Table24283089[[#This Row],[Sales Qty]]*AC8</f>
        <v>520124.61248326977</v>
      </c>
      <c r="AB9" s="20">
        <f>AB8+U9-AA9</f>
        <v>0</v>
      </c>
      <c r="AC9" s="20">
        <f>IFERROR(AB9/Table24283089[[#This Row],[Unit Sum]],0)</f>
        <v>0</v>
      </c>
      <c r="AD9" s="56">
        <f>Z9-AA9+Y9</f>
        <v>41763.967516730234</v>
      </c>
    </row>
    <row r="10" spans="1:31" ht="15.75" x14ac:dyDescent="0.25">
      <c r="A10" s="11" t="s">
        <v>22</v>
      </c>
      <c r="B10" s="12"/>
      <c r="C10" s="12"/>
      <c r="D10" s="13"/>
      <c r="E10" s="14"/>
      <c r="F10" s="15">
        <f>SUM(F7:F9)</f>
        <v>1893</v>
      </c>
      <c r="G10" s="15"/>
      <c r="H10" s="15">
        <f>SUM(H7:H9)</f>
        <v>553910.73</v>
      </c>
      <c r="I10" s="15">
        <f>SUM(I7:I9)</f>
        <v>1893</v>
      </c>
      <c r="J10" s="15">
        <f>Table24283089[[#This Row],[Sales Amt]]/Table24283089[[#This Row],[Sales Qty]]</f>
        <v>314.08399366085581</v>
      </c>
      <c r="K10" s="15">
        <f>SUBTOTAL(109,K7:K9)</f>
        <v>594561</v>
      </c>
      <c r="L10" s="15">
        <f>SUBTOTAL(109,L7:L9)</f>
        <v>553910.73</v>
      </c>
      <c r="M10" s="15">
        <f>Table24283089[[#This Row],[Total Purchase Amount]]-Table24283089[[#This Row],[Principal Cost As per  NFRS (In case of Sales)]]</f>
        <v>0</v>
      </c>
      <c r="N10" s="15">
        <f>Table24283089[[#This Row],[Purchase QTY]]-Table24283089[[#This Row],[Sales Qty]]</f>
        <v>0</v>
      </c>
      <c r="O10" s="43">
        <f>IFERROR(Table24283089[[#This Row],[TC AP NFRS]]/Table24283089[[#This Row],[Unit Sum]],0)</f>
        <v>0</v>
      </c>
      <c r="P10" s="15">
        <f>SUM(P7:P9)</f>
        <v>40650.270000000019</v>
      </c>
      <c r="R10" s="25">
        <f t="shared" ref="R10:AD10" si="0">SUM(R7:R9)</f>
        <v>0</v>
      </c>
      <c r="S10" s="25">
        <f t="shared" si="0"/>
        <v>0</v>
      </c>
      <c r="T10" s="25">
        <f t="shared" si="0"/>
        <v>0</v>
      </c>
      <c r="U10" s="25">
        <f t="shared" si="0"/>
        <v>549133.23560001655</v>
      </c>
      <c r="V10" s="25">
        <f t="shared" ref="V10" si="1">SUM(V7:V9)</f>
        <v>2082.4699999999998</v>
      </c>
      <c r="W10" s="25">
        <f t="shared" si="0"/>
        <v>50</v>
      </c>
      <c r="X10" s="25">
        <f t="shared" si="0"/>
        <v>2132.4699999999998</v>
      </c>
      <c r="Y10" s="25">
        <f t="shared" si="0"/>
        <v>4329.59</v>
      </c>
      <c r="Z10" s="25">
        <f>SUM(Z7:Z9)</f>
        <v>588098.94000000006</v>
      </c>
      <c r="AA10" s="25">
        <f t="shared" si="0"/>
        <v>549133.23560001655</v>
      </c>
      <c r="AB10" s="25">
        <f>U10-AA10</f>
        <v>0</v>
      </c>
      <c r="AC10" s="25">
        <f>IFERROR(AB10/Table24283089[[#This Row],[Unit Sum]],0)</f>
        <v>0</v>
      </c>
      <c r="AD10" s="25">
        <f t="shared" si="0"/>
        <v>43295.294399983453</v>
      </c>
    </row>
    <row r="12" spans="1:31" x14ac:dyDescent="0.25">
      <c r="A12" t="s">
        <v>882</v>
      </c>
      <c r="R12" s="120" t="s">
        <v>20</v>
      </c>
      <c r="S12" s="121"/>
      <c r="T12" s="121"/>
      <c r="U12" s="50"/>
      <c r="V12" s="120" t="s">
        <v>67</v>
      </c>
      <c r="W12" s="121"/>
      <c r="X12" s="121"/>
      <c r="Y12" s="123" t="s">
        <v>13</v>
      </c>
      <c r="Z12" s="124" t="s">
        <v>10</v>
      </c>
      <c r="AA12" s="125" t="s">
        <v>66</v>
      </c>
      <c r="AB12" s="123" t="s">
        <v>15</v>
      </c>
      <c r="AC12" s="123" t="s">
        <v>18</v>
      </c>
      <c r="AD12" s="123" t="s">
        <v>12</v>
      </c>
    </row>
    <row r="13" spans="1:31" ht="75" x14ac:dyDescent="0.25">
      <c r="A13" s="1" t="s">
        <v>57</v>
      </c>
      <c r="B13" s="2" t="s">
        <v>0</v>
      </c>
      <c r="C13" s="2" t="s">
        <v>53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51</v>
      </c>
      <c r="I13" s="2" t="s">
        <v>6</v>
      </c>
      <c r="J13" s="16" t="s">
        <v>7</v>
      </c>
      <c r="K13" s="16" t="s">
        <v>8</v>
      </c>
      <c r="L13" s="2" t="s">
        <v>50</v>
      </c>
      <c r="M13" s="2" t="s">
        <v>14</v>
      </c>
      <c r="N13" s="2" t="s">
        <v>16</v>
      </c>
      <c r="O13" s="4" t="s">
        <v>17</v>
      </c>
      <c r="P13" s="3" t="s">
        <v>11</v>
      </c>
      <c r="R13" s="2" t="s">
        <v>65</v>
      </c>
      <c r="S13" s="2" t="s">
        <v>62</v>
      </c>
      <c r="T13" s="2" t="s">
        <v>5</v>
      </c>
      <c r="U13" s="2" t="s">
        <v>164</v>
      </c>
      <c r="V13" s="16" t="s">
        <v>64</v>
      </c>
      <c r="W13" s="16" t="s">
        <v>62</v>
      </c>
      <c r="X13" s="45" t="s">
        <v>9</v>
      </c>
      <c r="Y13" s="123"/>
      <c r="Z13" s="124"/>
      <c r="AA13" s="125"/>
      <c r="AB13" s="123"/>
      <c r="AC13" s="123"/>
      <c r="AD13" s="123"/>
    </row>
    <row r="14" spans="1:31" x14ac:dyDescent="0.25">
      <c r="A14" s="96">
        <v>1</v>
      </c>
      <c r="B14" s="97" t="s">
        <v>60</v>
      </c>
      <c r="C14" s="97"/>
      <c r="D14" s="98">
        <v>45886</v>
      </c>
      <c r="E14" s="99" t="s">
        <v>19</v>
      </c>
      <c r="F14" s="59">
        <v>1893</v>
      </c>
      <c r="G14" s="59"/>
      <c r="H14" s="59">
        <v>553910.73</v>
      </c>
      <c r="I14" s="59">
        <v>1893</v>
      </c>
      <c r="J14" s="59">
        <v>314.08399366085581</v>
      </c>
      <c r="K14" s="59">
        <v>594561</v>
      </c>
      <c r="L14" s="59">
        <v>553910.73</v>
      </c>
      <c r="M14" s="59">
        <v>0</v>
      </c>
      <c r="N14" s="59">
        <v>0</v>
      </c>
      <c r="O14" s="59">
        <v>0</v>
      </c>
      <c r="P14" s="59">
        <v>40650.270000000019</v>
      </c>
      <c r="Q14" s="59"/>
      <c r="R14" s="59">
        <v>0</v>
      </c>
      <c r="S14" s="59">
        <v>0</v>
      </c>
      <c r="T14" s="59">
        <v>0</v>
      </c>
      <c r="U14" s="59">
        <v>549133.23560001655</v>
      </c>
      <c r="V14" s="59">
        <v>2082.4699999999998</v>
      </c>
      <c r="W14" s="59">
        <v>50</v>
      </c>
      <c r="X14" s="59">
        <v>2132.4699999999998</v>
      </c>
      <c r="Y14" s="59">
        <v>4329.59</v>
      </c>
      <c r="Z14" s="59">
        <v>588098.94000000006</v>
      </c>
      <c r="AA14" s="59">
        <v>549133.23560001655</v>
      </c>
      <c r="AB14" s="59">
        <v>0</v>
      </c>
      <c r="AC14" s="59">
        <v>0</v>
      </c>
      <c r="AD14" s="59">
        <v>43295.294399983453</v>
      </c>
    </row>
    <row r="15" spans="1:31" ht="30" x14ac:dyDescent="0.25">
      <c r="A15" s="108">
        <v>2</v>
      </c>
      <c r="B15" s="97" t="s">
        <v>60</v>
      </c>
      <c r="C15" s="97" t="s">
        <v>905</v>
      </c>
      <c r="D15" s="98">
        <v>45895</v>
      </c>
      <c r="E15" t="s">
        <v>55</v>
      </c>
      <c r="F15" s="9">
        <v>420</v>
      </c>
      <c r="G15" s="9">
        <f>H15/F15</f>
        <v>284.88095238095241</v>
      </c>
      <c r="H15" s="9">
        <v>119650</v>
      </c>
      <c r="I15" s="9"/>
      <c r="J15" s="9"/>
      <c r="K15" s="9"/>
      <c r="L15" s="9"/>
      <c r="M15" s="9">
        <f>M14+H15-L15</f>
        <v>119650</v>
      </c>
      <c r="N15" s="9">
        <f>N14+F15-I15</f>
        <v>420</v>
      </c>
      <c r="O15" s="42">
        <f>IFERROR(M15/N15,0)</f>
        <v>284.88095238095241</v>
      </c>
      <c r="P15" s="10"/>
      <c r="R15" s="17">
        <f>430.74+17.94</f>
        <v>448.68</v>
      </c>
      <c r="S15" s="17">
        <v>25</v>
      </c>
      <c r="T15" s="20">
        <f t="shared" ref="T15" si="2">R15+S15</f>
        <v>473.68</v>
      </c>
      <c r="U15" s="20">
        <f t="shared" ref="U15" si="3">H15+T15</f>
        <v>120123.68</v>
      </c>
      <c r="V15" s="20">
        <v>0</v>
      </c>
      <c r="W15" s="20"/>
      <c r="X15" s="55"/>
      <c r="Y15" s="20"/>
      <c r="Z15" s="20"/>
      <c r="AA15" s="20"/>
      <c r="AB15" s="20">
        <f t="shared" ref="AB15" si="4">AB14+U15-AA15</f>
        <v>120123.68</v>
      </c>
      <c r="AC15" s="20">
        <f t="shared" ref="AC15" si="5">IFERROR(AB15/N15,0)</f>
        <v>286.00876190476191</v>
      </c>
      <c r="AD15" s="56">
        <f t="shared" ref="AD15" si="6">Z15-AA15+Y15</f>
        <v>0</v>
      </c>
    </row>
  </sheetData>
  <mergeCells count="16">
    <mergeCell ref="AB12:AB13"/>
    <mergeCell ref="AC12:AC13"/>
    <mergeCell ref="AD12:AD13"/>
    <mergeCell ref="R12:T12"/>
    <mergeCell ref="V12:X12"/>
    <mergeCell ref="Y12:Y13"/>
    <mergeCell ref="Z12:Z13"/>
    <mergeCell ref="AA12:AA13"/>
    <mergeCell ref="AD5:AD6"/>
    <mergeCell ref="R5:T5"/>
    <mergeCell ref="V5:X5"/>
    <mergeCell ref="Y5:Y6"/>
    <mergeCell ref="AB5:AB6"/>
    <mergeCell ref="AC5:AC6"/>
    <mergeCell ref="Z5:Z6"/>
    <mergeCell ref="AA5:AA6"/>
  </mergeCells>
  <pageMargins left="0.2" right="0.2" top="0.74803149606299213" bottom="0.74803149606299213" header="0.31496062992125984" footer="0.31496062992125984"/>
  <pageSetup paperSize="9" scale="28" fitToHeight="0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F4241A-5701-43BA-BF41-07C69DB050A7}">
          <x14:formula1>
            <xm:f>VALIDATION!$A$2:$A$7</xm:f>
          </x14:formula1>
          <xm:sqref>E7:E9 E14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EC26-EB87-49FC-B8AF-EAA62DE918FB}">
  <dimension ref="A1:AE22"/>
  <sheetViews>
    <sheetView topLeftCell="A10" zoomScaleNormal="100" workbookViewId="0">
      <selection activeCell="AD20" sqref="A20:AD22"/>
    </sheetView>
  </sheetViews>
  <sheetFormatPr defaultRowHeight="15" x14ac:dyDescent="0.25"/>
  <cols>
    <col min="1" max="1" width="4.5703125" customWidth="1"/>
    <col min="2" max="2" width="8.140625" bestFit="1" customWidth="1"/>
    <col min="3" max="3" width="18.5703125" customWidth="1"/>
    <col min="4" max="4" width="10.28515625" bestFit="1" customWidth="1"/>
    <col min="6" max="6" width="11.42578125" bestFit="1" customWidth="1"/>
    <col min="7" max="7" width="9.28515625" bestFit="1" customWidth="1"/>
    <col min="8" max="8" width="15.42578125" bestFit="1" customWidth="1"/>
    <col min="9" max="10" width="11" bestFit="1" customWidth="1"/>
    <col min="11" max="11" width="15.42578125" bestFit="1" customWidth="1"/>
    <col min="12" max="12" width="15.140625" bestFit="1" customWidth="1"/>
    <col min="13" max="13" width="13.140625" bestFit="1" customWidth="1"/>
    <col min="14" max="15" width="9.42578125" bestFit="1" customWidth="1"/>
    <col min="16" max="16" width="13.42578125" bestFit="1" customWidth="1"/>
    <col min="17" max="17" width="5.85546875" customWidth="1"/>
    <col min="18" max="18" width="9.140625" bestFit="1" customWidth="1"/>
    <col min="19" max="19" width="8.85546875" bestFit="1" customWidth="1"/>
    <col min="20" max="20" width="12.140625" customWidth="1"/>
    <col min="21" max="21" width="15.42578125" bestFit="1" customWidth="1"/>
    <col min="22" max="22" width="13" customWidth="1"/>
    <col min="23" max="23" width="10.85546875" bestFit="1" customWidth="1"/>
    <col min="24" max="24" width="12.140625" bestFit="1" customWidth="1"/>
    <col min="25" max="25" width="12.140625" customWidth="1"/>
    <col min="26" max="26" width="15.7109375" bestFit="1" customWidth="1"/>
    <col min="27" max="27" width="15.5703125" customWidth="1"/>
    <col min="28" max="28" width="16.85546875" bestFit="1" customWidth="1"/>
    <col min="29" max="29" width="11.42578125" customWidth="1"/>
    <col min="30" max="30" width="13.1406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x14ac:dyDescent="0.25">
      <c r="A5" t="s">
        <v>58</v>
      </c>
      <c r="R5" s="120" t="s">
        <v>20</v>
      </c>
      <c r="S5" s="121"/>
      <c r="T5" s="121"/>
      <c r="U5" s="122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44" t="s">
        <v>63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69</v>
      </c>
      <c r="C7" s="6"/>
      <c r="D7" s="7">
        <v>45855</v>
      </c>
      <c r="E7" s="8" t="s">
        <v>19</v>
      </c>
      <c r="F7" s="9">
        <v>4766</v>
      </c>
      <c r="G7" s="9">
        <v>1296.01</v>
      </c>
      <c r="H7" s="9">
        <f>Table2428308910[[#This Row],[PPPU]]*Table2428308910[[#This Row],[Purchase QTY]]</f>
        <v>6176783.6600000001</v>
      </c>
      <c r="I7" s="9"/>
      <c r="J7" s="9"/>
      <c r="K7" s="9"/>
      <c r="L7" s="9"/>
      <c r="M7" s="9">
        <f>Table2428308910[[#This Row],[Total Purchase Amount]]</f>
        <v>6176783.6600000001</v>
      </c>
      <c r="N7" s="9">
        <f>IF(Table2428308910[[#This Row],[Txn Type]]="opening",Table2428308910[[#This Row],[Purchase QTY]],"Error")</f>
        <v>4766</v>
      </c>
      <c r="O7" s="42">
        <f>IFERROR(Table2428308910[[#This Row],[TC AP NFRS]]/Table2428308910[[#This Row],[Unit Sum]],0)</f>
        <v>1296.01</v>
      </c>
      <c r="P7" s="10">
        <f>Table2428308910[[#This Row],[Sales Amt]]-Table2428308910[[#This Row],[Principal Cost As per  NFRS (In case of Sales)]]</f>
        <v>0</v>
      </c>
      <c r="R7" s="17"/>
      <c r="S7" s="17"/>
      <c r="T7" s="20">
        <f>R7+S7</f>
        <v>0</v>
      </c>
      <c r="U7" s="20">
        <f>AB7</f>
        <v>6973372.9000000004</v>
      </c>
      <c r="V7" s="20"/>
      <c r="W7" s="20"/>
      <c r="X7" s="20"/>
      <c r="Y7" s="46"/>
      <c r="Z7" s="46"/>
      <c r="AA7" s="46"/>
      <c r="AB7" s="46">
        <f>F7*AC7</f>
        <v>6973372.9000000004</v>
      </c>
      <c r="AC7" s="46">
        <v>1463.15</v>
      </c>
      <c r="AD7" s="56"/>
    </row>
    <row r="8" spans="1:31" ht="30" x14ac:dyDescent="0.25">
      <c r="A8" s="5">
        <f t="shared" ref="A8:A17" si="0">A7+1</f>
        <v>2</v>
      </c>
      <c r="B8" s="6" t="s">
        <v>69</v>
      </c>
      <c r="C8" s="6" t="s">
        <v>70</v>
      </c>
      <c r="D8" s="7">
        <v>45859</v>
      </c>
      <c r="E8" s="8" t="s">
        <v>20</v>
      </c>
      <c r="F8" s="9">
        <v>50</v>
      </c>
      <c r="G8" s="9">
        <f>Table2428308910[[#This Row],[Total Purchase Amount]]/Table2428308910[[#This Row],[Purchase QTY]]</f>
        <v>1330.32</v>
      </c>
      <c r="H8" s="9">
        <v>66516</v>
      </c>
      <c r="I8" s="9"/>
      <c r="J8" s="9">
        <f ca="1">IFERROR(Table2428308910[[#This Row],[Sales Amt]]/Table2428308910[[#This Row],[Sales Qty]],0)</f>
        <v>0</v>
      </c>
      <c r="K8" s="9">
        <f ca="1">Table2428308910[[#This Row],[Sales Qty]]*Table2428308910[[#This Row],[SPPU]]</f>
        <v>0</v>
      </c>
      <c r="L8" s="9"/>
      <c r="M8" s="9">
        <f>M7+Table2428308910[[#This Row],[Total Purchase Amount]]-Table2428308910[[#This Row],[Principal Cost As per  NFRS (In case of Sales)]]</f>
        <v>6243299.6600000001</v>
      </c>
      <c r="N8" s="9">
        <f>N7+Table2428308910[[#This Row],[Purchase QTY]]-Table2428308910[[#This Row],[Sales Qty]]</f>
        <v>4816</v>
      </c>
      <c r="O8" s="42">
        <f>IFERROR(Table2428308910[[#This Row],[TC AP NFRS]]/Table2428308910[[#This Row],[Unit Sum]],0)</f>
        <v>1296.3662084717607</v>
      </c>
      <c r="P8" s="10">
        <f ca="1">Table2428308910[[#This Row],[Sales Amt]]-Table2428308910[[#This Row],[Principal Cost As per  NFRS (In case of Sales)]]</f>
        <v>0</v>
      </c>
      <c r="R8" s="17">
        <f>239.46+10</f>
        <v>249.46</v>
      </c>
      <c r="S8" s="17">
        <v>25</v>
      </c>
      <c r="T8" s="20">
        <f>R8+S8</f>
        <v>274.46000000000004</v>
      </c>
      <c r="U8" s="20">
        <f>H8+T8</f>
        <v>66790.460000000006</v>
      </c>
      <c r="V8" s="20">
        <v>0</v>
      </c>
      <c r="W8" s="20">
        <v>0</v>
      </c>
      <c r="X8" s="55">
        <f>V8+W8</f>
        <v>0</v>
      </c>
      <c r="Y8" s="20">
        <v>0</v>
      </c>
      <c r="Z8" s="20">
        <f ca="1">K8-X8-Y8</f>
        <v>0</v>
      </c>
      <c r="AA8" s="20">
        <f>I8*AC7</f>
        <v>0</v>
      </c>
      <c r="AB8" s="20">
        <f>AB7+U8-AA8</f>
        <v>7040163.3600000003</v>
      </c>
      <c r="AC8" s="20">
        <f>AB8/Table2428308910[[#This Row],[Unit Sum]]</f>
        <v>1461.8279401993357</v>
      </c>
      <c r="AD8" s="56">
        <f ca="1">Z8-AA8+Y8</f>
        <v>0</v>
      </c>
    </row>
    <row r="9" spans="1:31" ht="30" x14ac:dyDescent="0.25">
      <c r="A9" s="5">
        <f t="shared" si="0"/>
        <v>3</v>
      </c>
      <c r="B9" s="6" t="s">
        <v>69</v>
      </c>
      <c r="C9" s="6" t="s">
        <v>70</v>
      </c>
      <c r="D9" s="7">
        <v>45861</v>
      </c>
      <c r="E9" s="8" t="s">
        <v>21</v>
      </c>
      <c r="F9" s="9">
        <v>0</v>
      </c>
      <c r="G9" s="9">
        <f>IF(Table2428308910[[#This Row],[SPPU]]&gt;0,0,Table2428308910[[#This Row],[Total Purchase Amount]]/Table2428308910[[#This Row],[Purchase QTY]])</f>
        <v>0</v>
      </c>
      <c r="H9" s="9">
        <v>0</v>
      </c>
      <c r="I9" s="9">
        <v>1280</v>
      </c>
      <c r="J9" s="9">
        <f>Table2428308910[[#This Row],[Sales Amt]]/Table2428308910[[#This Row],[Sales Qty]]</f>
        <v>1385.328125</v>
      </c>
      <c r="K9" s="9">
        <v>1773220</v>
      </c>
      <c r="L9" s="9">
        <f>Table2428308910[[#This Row],[Sales Qty]]*O8</f>
        <v>1659348.7468438537</v>
      </c>
      <c r="M9" s="9">
        <f>M8+Table2428308910[[#This Row],[Total Purchase Amount]]-Table2428308910[[#This Row],[Principal Cost As per  NFRS (In case of Sales)]]</f>
        <v>4583950.9131561462</v>
      </c>
      <c r="N9" s="9">
        <f>N8+Table2428308910[[#This Row],[Purchase QTY]]-Table2428308910[[#This Row],[Sales Qty]]</f>
        <v>3536</v>
      </c>
      <c r="O9" s="42">
        <f>IFERROR(Table2428308910[[#This Row],[TC AP NFRS]]/Table2428308910[[#This Row],[Unit Sum]],0)</f>
        <v>1296.3662084717607</v>
      </c>
      <c r="P9" s="10">
        <f>Table2428308910[[#This Row],[Sales Amt]]-Table2428308910[[#This Row],[Principal Cost As per  NFRS (In case of Sales)]]</f>
        <v>113871.25315614627</v>
      </c>
      <c r="R9" s="17">
        <v>0</v>
      </c>
      <c r="S9" s="17"/>
      <c r="T9" s="20">
        <f t="shared" ref="T9:T17" si="1">R9+S9</f>
        <v>0</v>
      </c>
      <c r="U9" s="20">
        <f t="shared" ref="U9:U17" si="2">H9+T9</f>
        <v>0</v>
      </c>
      <c r="V9" s="20">
        <f>5607.12+265.98</f>
        <v>5873.1</v>
      </c>
      <c r="W9" s="20">
        <v>25</v>
      </c>
      <c r="X9" s="55">
        <f t="shared" ref="X9:X17" si="3">V9+W9</f>
        <v>5898.1</v>
      </c>
      <c r="Y9" s="20">
        <v>0</v>
      </c>
      <c r="Z9" s="20">
        <f t="shared" ref="Z9:Z16" si="4">K9-X9-Y9</f>
        <v>1767321.9</v>
      </c>
      <c r="AA9" s="20">
        <f t="shared" ref="AA9:AA17" si="5">I9*AC8</f>
        <v>1871139.7634551497</v>
      </c>
      <c r="AB9" s="20">
        <f t="shared" ref="AB9:AB16" si="6">AB8+U9-AA9</f>
        <v>5169023.5965448506</v>
      </c>
      <c r="AC9" s="20">
        <f>AB9/Table2428308910[[#This Row],[Unit Sum]]</f>
        <v>1461.8279401993357</v>
      </c>
      <c r="AD9" s="58">
        <f t="shared" ref="AD9:AD17" si="7">Z9-AA9+Y9</f>
        <v>-103817.86345514981</v>
      </c>
    </row>
    <row r="10" spans="1:31" ht="30" x14ac:dyDescent="0.25">
      <c r="A10" s="5">
        <f t="shared" si="0"/>
        <v>4</v>
      </c>
      <c r="B10" s="6" t="s">
        <v>69</v>
      </c>
      <c r="C10" s="6" t="s">
        <v>71</v>
      </c>
      <c r="D10" s="7">
        <v>45862</v>
      </c>
      <c r="E10" s="8" t="s">
        <v>21</v>
      </c>
      <c r="F10" s="9">
        <v>0</v>
      </c>
      <c r="G10" s="9">
        <f>IF(Table2428308910[[#This Row],[SPPU]]&gt;=0,0,Table2428308910[[#This Row],[Total Purchase Amount]]/Table2428308910[[#This Row],[Purchase QTY]])</f>
        <v>0</v>
      </c>
      <c r="H10" s="9">
        <v>0</v>
      </c>
      <c r="I10" s="9">
        <v>10</v>
      </c>
      <c r="J10" s="9">
        <f>IFERROR(Table2428308910[[#This Row],[Sales Amt]]/Table2428308910[[#This Row],[Sales Qty]],0)</f>
        <v>1476</v>
      </c>
      <c r="K10" s="9">
        <v>14760</v>
      </c>
      <c r="L10" s="9">
        <f>Table2428308910[[#This Row],[Sales Qty]]*O9</f>
        <v>12963.662084717607</v>
      </c>
      <c r="M10" s="9">
        <f>M9+Table2428308910[[#This Row],[Total Purchase Amount]]-Table2428308910[[#This Row],[Principal Cost As per  NFRS (In case of Sales)]]</f>
        <v>4570987.2510714289</v>
      </c>
      <c r="N10" s="9">
        <f>N9+Table2428308910[[#This Row],[Purchase QTY]]-Table2428308910[[#This Row],[Sales Qty]]</f>
        <v>3526</v>
      </c>
      <c r="O10" s="42">
        <f>IFERROR(Table2428308910[[#This Row],[TC AP NFRS]]/Table2428308910[[#This Row],[Unit Sum]],0)</f>
        <v>1296.366208471761</v>
      </c>
      <c r="P10" s="10">
        <f>Table2428308910[[#This Row],[Sales Amt]]-Table2428308910[[#This Row],[Principal Cost As per  NFRS (In case of Sales)]]</f>
        <v>1796.3379152823927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f>53.14+2.21</f>
        <v>55.35</v>
      </c>
      <c r="W10" s="20">
        <v>25</v>
      </c>
      <c r="X10" s="55">
        <f t="shared" si="3"/>
        <v>80.349999999999994</v>
      </c>
      <c r="Y10" s="20">
        <v>6.14</v>
      </c>
      <c r="Z10" s="20">
        <f t="shared" si="4"/>
        <v>14673.51</v>
      </c>
      <c r="AA10" s="20">
        <f t="shared" si="5"/>
        <v>14618.279401993357</v>
      </c>
      <c r="AB10" s="20">
        <f t="shared" si="6"/>
        <v>5154405.3171428572</v>
      </c>
      <c r="AC10" s="20">
        <f>AB10/Table2428308910[[#This Row],[Unit Sum]]</f>
        <v>1461.8279401993357</v>
      </c>
      <c r="AD10" s="58">
        <f t="shared" si="7"/>
        <v>61.37059800664305</v>
      </c>
    </row>
    <row r="11" spans="1:31" ht="30" x14ac:dyDescent="0.25">
      <c r="A11" s="5">
        <f t="shared" si="0"/>
        <v>5</v>
      </c>
      <c r="B11" s="6" t="s">
        <v>69</v>
      </c>
      <c r="C11" s="6" t="s">
        <v>72</v>
      </c>
      <c r="D11" s="7">
        <v>45865</v>
      </c>
      <c r="E11" s="8" t="s">
        <v>21</v>
      </c>
      <c r="F11" s="9"/>
      <c r="G11" s="9">
        <f>IF(Table2428308910[[#This Row],[SPPU]]&gt;=0,0,Table2428308910[[#This Row],[Total Purchase Amount]]/Table2428308910[[#This Row],[Purchase QTY]])</f>
        <v>0</v>
      </c>
      <c r="H11" s="9"/>
      <c r="I11" s="9">
        <v>10</v>
      </c>
      <c r="J11" s="9">
        <v>1496</v>
      </c>
      <c r="K11" s="9">
        <f>Table2428308910[[#This Row],[Sales Qty]]*Table2428308910[[#This Row],[SPPU]]</f>
        <v>14960</v>
      </c>
      <c r="L11" s="9">
        <f>Table2428308910[[#This Row],[Sales Qty]]*O10</f>
        <v>12963.662084717609</v>
      </c>
      <c r="M11" s="9">
        <f>M10+Table2428308910[[#This Row],[Total Purchase Amount]]-Table2428308910[[#This Row],[Principal Cost As per  NFRS (In case of Sales)]]</f>
        <v>4558023.5889867116</v>
      </c>
      <c r="N11" s="9">
        <f>N10+Table2428308910[[#This Row],[Purchase QTY]]-Table2428308910[[#This Row],[Sales Qty]]</f>
        <v>3516</v>
      </c>
      <c r="O11" s="42">
        <f>IFERROR(Table2428308910[[#This Row],[TC AP NFRS]]/Table2428308910[[#This Row],[Unit Sum]],0)</f>
        <v>1296.366208471761</v>
      </c>
      <c r="P11" s="10">
        <f>Table2428308910[[#This Row],[Sales Amt]]-Table2428308910[[#This Row],[Principal Cost As per  NFRS (In case of Sales)]]</f>
        <v>1996.3379152823909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f>53.86+2.24</f>
        <v>56.1</v>
      </c>
      <c r="W11" s="20">
        <v>25</v>
      </c>
      <c r="X11" s="55">
        <f t="shared" si="3"/>
        <v>81.099999999999994</v>
      </c>
      <c r="Y11" s="20">
        <v>26.06</v>
      </c>
      <c r="Z11" s="20">
        <f t="shared" si="4"/>
        <v>14852.84</v>
      </c>
      <c r="AA11" s="20">
        <f t="shared" si="5"/>
        <v>14618.279401993357</v>
      </c>
      <c r="AB11" s="20">
        <f t="shared" si="6"/>
        <v>5139787.0377408639</v>
      </c>
      <c r="AC11" s="20">
        <f>AB11/Table2428308910[[#This Row],[Unit Sum]]</f>
        <v>1461.8279401993357</v>
      </c>
      <c r="AD11" s="58">
        <f t="shared" si="7"/>
        <v>260.62059800664298</v>
      </c>
    </row>
    <row r="12" spans="1:31" ht="30" x14ac:dyDescent="0.25">
      <c r="A12" s="5">
        <f t="shared" si="0"/>
        <v>6</v>
      </c>
      <c r="B12" s="6" t="s">
        <v>69</v>
      </c>
      <c r="C12" s="6" t="s">
        <v>73</v>
      </c>
      <c r="D12" s="7">
        <v>45866</v>
      </c>
      <c r="E12" s="8" t="s">
        <v>21</v>
      </c>
      <c r="F12" s="9"/>
      <c r="G12" s="9">
        <f>IF(Table2428308910[[#This Row],[SPPU]]&gt;=0,0,Table2428308910[[#This Row],[Total Purchase Amount]]/Table2428308910[[#This Row],[Purchase QTY]])</f>
        <v>0</v>
      </c>
      <c r="H12" s="9"/>
      <c r="I12" s="9">
        <v>20</v>
      </c>
      <c r="J12" s="9">
        <f>Table2428308910[[#This Row],[Sales Amt]]/Table2428308910[[#This Row],[Sales Qty]]</f>
        <v>1425</v>
      </c>
      <c r="K12" s="9">
        <v>28500</v>
      </c>
      <c r="L12" s="9">
        <f>Table2428308910[[#This Row],[Sales Qty]]*O11</f>
        <v>25927.324169435218</v>
      </c>
      <c r="M12" s="9">
        <f>M11+Table2428308910[[#This Row],[Total Purchase Amount]]-Table2428308910[[#This Row],[Principal Cost As per  NFRS (In case of Sales)]]</f>
        <v>4532096.264817276</v>
      </c>
      <c r="N12" s="9">
        <f>N11+Table2428308910[[#This Row],[Purchase QTY]]-Table2428308910[[#This Row],[Sales Qty]]</f>
        <v>3496</v>
      </c>
      <c r="O12" s="42">
        <f>IFERROR(Table2428308910[[#This Row],[TC AP NFRS]]/Table2428308910[[#This Row],[Unit Sum]],0)</f>
        <v>1296.366208471761</v>
      </c>
      <c r="P12" s="10">
        <f>Table2428308910[[#This Row],[Sales Amt]]-Table2428308910[[#This Row],[Principal Cost As per  NFRS (In case of Sales)]]</f>
        <v>2572.6758305647818</v>
      </c>
      <c r="R12" s="17"/>
      <c r="S12" s="17"/>
      <c r="T12" s="20">
        <f t="shared" si="1"/>
        <v>0</v>
      </c>
      <c r="U12" s="20">
        <f t="shared" si="2"/>
        <v>0</v>
      </c>
      <c r="V12" s="20">
        <f>4.28+102.6</f>
        <v>106.88</v>
      </c>
      <c r="W12" s="20">
        <v>25</v>
      </c>
      <c r="X12" s="55">
        <f t="shared" si="3"/>
        <v>131.88</v>
      </c>
      <c r="Y12" s="20">
        <v>0</v>
      </c>
      <c r="Z12" s="20">
        <f t="shared" si="4"/>
        <v>28368.12</v>
      </c>
      <c r="AA12" s="20">
        <f t="shared" si="5"/>
        <v>29236.558803986714</v>
      </c>
      <c r="AB12" s="20">
        <f t="shared" si="6"/>
        <v>5110550.4789368771</v>
      </c>
      <c r="AC12" s="20">
        <f>AB12/Table2428308910[[#This Row],[Unit Sum]]</f>
        <v>1461.8279401993354</v>
      </c>
      <c r="AD12" s="58">
        <f t="shared" si="7"/>
        <v>-868.43880398671536</v>
      </c>
    </row>
    <row r="13" spans="1:31" ht="30" x14ac:dyDescent="0.25">
      <c r="A13" s="5">
        <f t="shared" si="0"/>
        <v>7</v>
      </c>
      <c r="B13" s="6" t="s">
        <v>69</v>
      </c>
      <c r="C13" s="6" t="s">
        <v>74</v>
      </c>
      <c r="D13" s="7">
        <v>45867</v>
      </c>
      <c r="E13" s="8" t="s">
        <v>20</v>
      </c>
      <c r="F13" s="9">
        <v>50</v>
      </c>
      <c r="G13" s="9">
        <f>Table2428308910[[#This Row],[Total Purchase Amount]]/Table2428308910[[#This Row],[Purchase QTY]]</f>
        <v>1459</v>
      </c>
      <c r="H13" s="9">
        <v>72950</v>
      </c>
      <c r="I13" s="9">
        <v>0</v>
      </c>
      <c r="J13" s="9">
        <f ca="1">IFERROR(Table2428308910[[#This Row],[Sales Amt]]/Table2428308910[[#This Row],[Sales Qty]],0)</f>
        <v>0</v>
      </c>
      <c r="K13" s="9">
        <f ca="1">Table2428308910[[#This Row],[Sales Qty]]*Table2428308910[[#This Row],[SPPU]]</f>
        <v>0</v>
      </c>
      <c r="L13" s="9">
        <f>Table2428308910[[#This Row],[Sales Qty]]*O12</f>
        <v>0</v>
      </c>
      <c r="M13" s="9">
        <f>M12+Table2428308910[[#This Row],[Total Purchase Amount]]-Table2428308910[[#This Row],[Principal Cost As per  NFRS (In case of Sales)]]</f>
        <v>4605046.264817276</v>
      </c>
      <c r="N13" s="9">
        <f>N12+Table2428308910[[#This Row],[Purchase QTY]]-Table2428308910[[#This Row],[Sales Qty]]</f>
        <v>3546</v>
      </c>
      <c r="O13" s="42">
        <f>IFERROR(Table2428308910[[#This Row],[TC AP NFRS]]/Table2428308910[[#This Row],[Unit Sum]],0)</f>
        <v>1298.6594091419279</v>
      </c>
      <c r="P13" s="10">
        <f ca="1">Table2428308910[[#This Row],[Sales Amt]]-Table2428308910[[#This Row],[Principal Cost As per  NFRS (In case of Sales)]]</f>
        <v>0</v>
      </c>
      <c r="R13" s="17">
        <v>273.56</v>
      </c>
      <c r="S13" s="17">
        <v>25</v>
      </c>
      <c r="T13" s="20">
        <f t="shared" si="1"/>
        <v>298.56</v>
      </c>
      <c r="U13" s="20">
        <f t="shared" si="2"/>
        <v>73248.56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ca="1" si="4"/>
        <v>0</v>
      </c>
      <c r="AA13" s="20">
        <f t="shared" si="5"/>
        <v>0</v>
      </c>
      <c r="AB13" s="20">
        <f t="shared" si="6"/>
        <v>5183799.0389368767</v>
      </c>
      <c r="AC13" s="20">
        <f>AB13/Table2428308910[[#This Row],[Unit Sum]]</f>
        <v>1461.8722614035185</v>
      </c>
      <c r="AD13" s="58">
        <f t="shared" ca="1" si="7"/>
        <v>0</v>
      </c>
    </row>
    <row r="14" spans="1:31" ht="30" x14ac:dyDescent="0.25">
      <c r="A14" s="5">
        <f t="shared" si="0"/>
        <v>8</v>
      </c>
      <c r="B14" s="6" t="s">
        <v>69</v>
      </c>
      <c r="C14" s="6" t="s">
        <v>76</v>
      </c>
      <c r="D14" s="7">
        <v>45867</v>
      </c>
      <c r="E14" s="8" t="s">
        <v>20</v>
      </c>
      <c r="F14" s="9">
        <v>40</v>
      </c>
      <c r="G14" s="9">
        <f>Table2428308910[[#This Row],[Total Purchase Amount]]/Table2428308910[[#This Row],[Purchase QTY]]</f>
        <v>1482.7</v>
      </c>
      <c r="H14" s="9">
        <v>59308</v>
      </c>
      <c r="I14" s="9">
        <v>0</v>
      </c>
      <c r="J14" s="9">
        <f ca="1">IFERROR(Table2428308910[[#This Row],[Sales Amt]]/Table2428308910[[#This Row],[Sales Qty]],0)</f>
        <v>0</v>
      </c>
      <c r="K14" s="9">
        <f ca="1">Table2428308910[[#This Row],[Sales Qty]]*Table2428308910[[#This Row],[SPPU]]</f>
        <v>0</v>
      </c>
      <c r="L14" s="9">
        <f>Table2428308910[[#This Row],[Sales Qty]]*O13</f>
        <v>0</v>
      </c>
      <c r="M14" s="9">
        <f>M13+Table2428308910[[#This Row],[Total Purchase Amount]]-Table2428308910[[#This Row],[Principal Cost As per  NFRS (In case of Sales)]]</f>
        <v>4664354.264817276</v>
      </c>
      <c r="N14" s="9">
        <f>N13+Table2428308910[[#This Row],[Purchase QTY]]-Table2428308910[[#This Row],[Sales Qty]]</f>
        <v>3586</v>
      </c>
      <c r="O14" s="42">
        <f>IFERROR(Table2428308910[[#This Row],[TC AP NFRS]]/Table2428308910[[#This Row],[Unit Sum]],0)</f>
        <v>1300.7122880137413</v>
      </c>
      <c r="P14" s="10">
        <f ca="1">Table2428308910[[#This Row],[Sales Amt]]-Table2428308910[[#This Row],[Principal Cost As per  NFRS (In case of Sales)]]</f>
        <v>0</v>
      </c>
      <c r="R14" s="17">
        <v>222.42</v>
      </c>
      <c r="S14" s="17"/>
      <c r="T14" s="20">
        <f t="shared" si="1"/>
        <v>222.42</v>
      </c>
      <c r="U14" s="20">
        <f t="shared" si="2"/>
        <v>59530.42</v>
      </c>
      <c r="V14" s="20">
        <v>0</v>
      </c>
      <c r="W14" s="20">
        <v>0</v>
      </c>
      <c r="X14" s="55">
        <f t="shared" si="3"/>
        <v>0</v>
      </c>
      <c r="Y14" s="20">
        <v>0</v>
      </c>
      <c r="Z14" s="20">
        <f t="shared" ca="1" si="4"/>
        <v>0</v>
      </c>
      <c r="AA14" s="20">
        <f t="shared" si="5"/>
        <v>0</v>
      </c>
      <c r="AB14" s="20">
        <f t="shared" si="6"/>
        <v>5243329.4589368766</v>
      </c>
      <c r="AC14" s="20">
        <f>AB14/Table2428308910[[#This Row],[Unit Sum]]</f>
        <v>1462.1666087386716</v>
      </c>
      <c r="AD14" s="58">
        <f t="shared" ca="1" si="7"/>
        <v>0</v>
      </c>
    </row>
    <row r="15" spans="1:31" ht="30" x14ac:dyDescent="0.25">
      <c r="A15" s="5">
        <f t="shared" si="0"/>
        <v>9</v>
      </c>
      <c r="B15" s="6" t="s">
        <v>69</v>
      </c>
      <c r="C15" s="6" t="s">
        <v>75</v>
      </c>
      <c r="D15" s="7">
        <v>45869</v>
      </c>
      <c r="E15" s="8" t="s">
        <v>21</v>
      </c>
      <c r="F15" s="9"/>
      <c r="G15" s="9">
        <f>IF(Table2428308910[[#This Row],[SPPU]]&gt;=0,0,Table2428308910[[#This Row],[Total Purchase Amount]]/Table2428308910[[#This Row],[Purchase QTY]])</f>
        <v>0</v>
      </c>
      <c r="H15" s="9"/>
      <c r="I15" s="9">
        <v>2152</v>
      </c>
      <c r="J15" s="9">
        <f>IFERROR(Table2428308910[[#This Row],[Sales Amt]]/Table2428308910[[#This Row],[Sales Qty]],0)</f>
        <v>1492.5650557620818</v>
      </c>
      <c r="K15" s="9">
        <v>3212000</v>
      </c>
      <c r="L15" s="9">
        <f>Table2428308910[[#This Row],[Sales Qty]]*O14</f>
        <v>2799132.8438055711</v>
      </c>
      <c r="M15" s="9">
        <f>M14+Table2428308910[[#This Row],[Total Purchase Amount]]-Table2428308910[[#This Row],[Principal Cost As per  NFRS (In case of Sales)]]</f>
        <v>1865221.421011705</v>
      </c>
      <c r="N15" s="9">
        <f>N14+Table2428308910[[#This Row],[Purchase QTY]]-Table2428308910[[#This Row],[Sales Qty]]</f>
        <v>1434</v>
      </c>
      <c r="O15" s="42">
        <f>IFERROR(Table2428308910[[#This Row],[TC AP NFRS]]/Table2428308910[[#This Row],[Unit Sum]],0)</f>
        <v>1300.7122880137413</v>
      </c>
      <c r="P15" s="10">
        <f>Table2428308910[[#This Row],[Sales Amt]]-Table2428308910[[#This Row],[Principal Cost As per  NFRS (In case of Sales)]]</f>
        <v>412867.15619442891</v>
      </c>
      <c r="R15" s="17">
        <v>0</v>
      </c>
      <c r="S15" s="17"/>
      <c r="T15" s="20">
        <f t="shared" si="1"/>
        <v>0</v>
      </c>
      <c r="U15" s="20">
        <f t="shared" si="2"/>
        <v>0</v>
      </c>
      <c r="V15" s="20">
        <f>10165.06+481.82</f>
        <v>10646.88</v>
      </c>
      <c r="W15" s="20">
        <v>25</v>
      </c>
      <c r="X15" s="55">
        <f t="shared" si="3"/>
        <v>10671.88</v>
      </c>
      <c r="Y15" s="20">
        <v>5473.19</v>
      </c>
      <c r="Z15" s="20">
        <f t="shared" si="4"/>
        <v>3195854.93</v>
      </c>
      <c r="AA15" s="20">
        <f t="shared" si="5"/>
        <v>3146582.5420056214</v>
      </c>
      <c r="AB15" s="20">
        <f t="shared" si="6"/>
        <v>2096746.9169312553</v>
      </c>
      <c r="AC15" s="20">
        <f>AB15/Table2428308910[[#This Row],[Unit Sum]]</f>
        <v>1462.1666087386718</v>
      </c>
      <c r="AD15" s="58">
        <f t="shared" si="7"/>
        <v>54745.577994378807</v>
      </c>
    </row>
    <row r="16" spans="1:31" ht="30" x14ac:dyDescent="0.25">
      <c r="A16" s="5">
        <f t="shared" si="0"/>
        <v>10</v>
      </c>
      <c r="B16" s="6" t="s">
        <v>69</v>
      </c>
      <c r="C16" s="6" t="s">
        <v>150</v>
      </c>
      <c r="D16" s="7">
        <v>45872</v>
      </c>
      <c r="E16" s="8" t="s">
        <v>21</v>
      </c>
      <c r="F16" s="9"/>
      <c r="G16" s="9">
        <f>IF(Table2428308910[[#This Row],[SPPU]]&gt;=0,0,Table2428308910[[#This Row],[Total Purchase Amount]]/Table2428308910[[#This Row],[Purchase QTY]])</f>
        <v>0</v>
      </c>
      <c r="H16" s="9"/>
      <c r="I16" s="9">
        <v>135</v>
      </c>
      <c r="J16" s="9">
        <v>1450</v>
      </c>
      <c r="K16" s="9">
        <f>Table2428308910[[#This Row],[Sales Qty]]*Table2428308910[[#This Row],[SPPU]]</f>
        <v>195750</v>
      </c>
      <c r="L16" s="9">
        <f>Table2428308910[[#This Row],[Sales Qty]]*O15</f>
        <v>175596.15888185508</v>
      </c>
      <c r="M16" s="9">
        <f>M15+Table2428308910[[#This Row],[Total Purchase Amount]]-Table2428308910[[#This Row],[Principal Cost As per  NFRS (In case of Sales)]]</f>
        <v>1689625.2621298498</v>
      </c>
      <c r="N16" s="9">
        <f>N15+Table2428308910[[#This Row],[Purchase QTY]]-Table2428308910[[#This Row],[Sales Qty]]</f>
        <v>1299</v>
      </c>
      <c r="O16" s="42">
        <f>IFERROR(Table2428308910[[#This Row],[TC AP NFRS]]/Table2428308910[[#This Row],[Unit Sum]],0)</f>
        <v>1300.712288013741</v>
      </c>
      <c r="P16" s="10">
        <f>Table2428308910[[#This Row],[Sales Amt]]-Table2428308910[[#This Row],[Principal Cost As per  NFRS (In case of Sales)]]</f>
        <v>20153.841118144919</v>
      </c>
      <c r="R16" s="17">
        <v>0</v>
      </c>
      <c r="S16" s="17"/>
      <c r="T16" s="20">
        <f t="shared" si="1"/>
        <v>0</v>
      </c>
      <c r="U16" s="20">
        <f t="shared" si="2"/>
        <v>0</v>
      </c>
      <c r="V16" s="20">
        <f>650.33+29.37</f>
        <v>679.7</v>
      </c>
      <c r="W16" s="20">
        <v>25</v>
      </c>
      <c r="X16" s="55">
        <f t="shared" si="3"/>
        <v>704.7</v>
      </c>
      <c r="Y16" s="20">
        <v>0</v>
      </c>
      <c r="Z16" s="20">
        <f t="shared" si="4"/>
        <v>195045.3</v>
      </c>
      <c r="AA16" s="20">
        <f t="shared" si="5"/>
        <v>197392.49217972069</v>
      </c>
      <c r="AB16" s="20">
        <f t="shared" si="6"/>
        <v>1899354.4247515346</v>
      </c>
      <c r="AC16" s="20">
        <f>AB16/Table2428308910[[#This Row],[Unit Sum]]</f>
        <v>1462.1666087386718</v>
      </c>
      <c r="AD16" s="58">
        <f t="shared" si="7"/>
        <v>-2347.1921797207033</v>
      </c>
    </row>
    <row r="17" spans="1:30" ht="30" x14ac:dyDescent="0.25">
      <c r="A17" s="5">
        <f t="shared" si="0"/>
        <v>11</v>
      </c>
      <c r="B17" s="6" t="s">
        <v>69</v>
      </c>
      <c r="C17" s="6" t="s">
        <v>155</v>
      </c>
      <c r="D17" s="7">
        <v>45875</v>
      </c>
      <c r="E17" s="8" t="s">
        <v>21</v>
      </c>
      <c r="F17" s="9"/>
      <c r="G17" s="9">
        <f>IF(Table2428308910[[#This Row],[SPPU]]&gt;=0,0,Table2428308910[[#This Row],[Total Purchase Amount]]/Table2428308910[[#This Row],[Purchase QTY]])</f>
        <v>0</v>
      </c>
      <c r="H17" s="9"/>
      <c r="I17" s="9">
        <v>1299</v>
      </c>
      <c r="J17" s="9">
        <f>Table2428308910[[#This Row],[Sales Amt]]/Table2428308910[[#This Row],[Sales Qty]]</f>
        <v>1513.2640492686683</v>
      </c>
      <c r="K17" s="9">
        <v>1965730</v>
      </c>
      <c r="L17" s="9">
        <f>Table2428308910[[#This Row],[Sales Qty]]*O16</f>
        <v>1689625.2621298495</v>
      </c>
      <c r="M17" s="9">
        <f>M16+Table2428308910[[#This Row],[Total Purchase Amount]]-Table2428308910[[#This Row],[Principal Cost As per  NFRS (In case of Sales)]]</f>
        <v>0</v>
      </c>
      <c r="N17" s="9">
        <f>N16+Table2428308910[[#This Row],[Purchase QTY]]-Table2428308910[[#This Row],[Sales Qty]]</f>
        <v>0</v>
      </c>
      <c r="O17" s="42">
        <f>IFERROR(Table2428308910[[#This Row],[TC AP NFRS]]/Table2428308910[[#This Row],[Unit Sum]],0)</f>
        <v>0</v>
      </c>
      <c r="P17" s="10">
        <f>Table2428308910[[#This Row],[Sales Amt]]-Table2428308910[[#This Row],[Principal Cost As per  NFRS (In case of Sales)]]</f>
        <v>276104.73787015048</v>
      </c>
      <c r="R17" s="17">
        <v>0</v>
      </c>
      <c r="S17" s="17"/>
      <c r="T17" s="20">
        <f t="shared" si="1"/>
        <v>0</v>
      </c>
      <c r="U17" s="20">
        <f t="shared" si="2"/>
        <v>0</v>
      </c>
      <c r="V17" s="20">
        <f>294.86+6215.84</f>
        <v>6510.7</v>
      </c>
      <c r="W17" s="20">
        <v>25</v>
      </c>
      <c r="X17" s="55">
        <f t="shared" si="3"/>
        <v>6535.7</v>
      </c>
      <c r="Y17" s="20">
        <v>5983.17</v>
      </c>
      <c r="Z17" s="20">
        <f>K17-X17-Y17</f>
        <v>1953211.1300000001</v>
      </c>
      <c r="AA17" s="20">
        <f t="shared" si="5"/>
        <v>1899354.4247515346</v>
      </c>
      <c r="AB17" s="20">
        <f>AB16+U17-AA17</f>
        <v>0</v>
      </c>
      <c r="AC17" s="20">
        <f>IFERROR(AB17/Table2428308910[[#This Row],[Unit Sum]],0)</f>
        <v>0</v>
      </c>
      <c r="AD17" s="58">
        <f t="shared" si="7"/>
        <v>59839.875248465527</v>
      </c>
    </row>
    <row r="18" spans="1:30" ht="15.75" x14ac:dyDescent="0.25">
      <c r="A18" s="11" t="s">
        <v>22</v>
      </c>
      <c r="B18" s="12"/>
      <c r="C18" s="12"/>
      <c r="D18" s="13"/>
      <c r="E18" s="14"/>
      <c r="F18" s="15">
        <f ca="1">SUM(INDIRECT("f4:f"&amp;ROW()-1))</f>
        <v>4906</v>
      </c>
      <c r="G18" s="15"/>
      <c r="H18" s="15">
        <f ca="1">SUM(INDIRECT("h4:h"&amp;ROW()-1))</f>
        <v>6375557.6600000001</v>
      </c>
      <c r="I18" s="15">
        <f ca="1">SUM(INDIRECT("i4:i"&amp;ROW()-1))</f>
        <v>4906</v>
      </c>
      <c r="J18" s="15">
        <f ca="1">Table2428308910[[#This Row],[Sales Amt]]/Table2428308910[[#This Row],[Sales Qty]]</f>
        <v>1468.5935589074602</v>
      </c>
      <c r="K18" s="15">
        <f ca="1">SUM(K7:K17)</f>
        <v>7204920</v>
      </c>
      <c r="L18" s="15">
        <f>SUM(L7:L17)</f>
        <v>6375557.6600000001</v>
      </c>
      <c r="M18" s="15">
        <f ca="1">Table2428308910[[#This Row],[Total Purchase Amount]]-Table2428308910[[#This Row],[Principal Cost As per  NFRS (In case of Sales)]]</f>
        <v>0</v>
      </c>
      <c r="N18" s="15">
        <f ca="1">Table2428308910[[#This Row],[Purchase QTY]]-Table2428308910[[#This Row],[Sales Qty]]</f>
        <v>0</v>
      </c>
      <c r="O18" s="43">
        <f ca="1">IFERROR(Table2428308910[[#This Row],[TC AP NFRS]]/Table2428308910[[#This Row],[Unit Sum]],0)</f>
        <v>0</v>
      </c>
      <c r="P18" s="15">
        <f ca="1">SUM(INDIRECT("p4:p"&amp;ROW()-1))</f>
        <v>829362.3400000002</v>
      </c>
      <c r="R18" s="25">
        <f t="shared" ref="R18:Y18" si="8">SUM(R7:R17)</f>
        <v>745.43999999999994</v>
      </c>
      <c r="S18" s="25">
        <f t="shared" si="8"/>
        <v>50</v>
      </c>
      <c r="T18" s="25">
        <f t="shared" si="8"/>
        <v>795.43999999999994</v>
      </c>
      <c r="U18" s="25">
        <f t="shared" si="8"/>
        <v>7172942.3399999999</v>
      </c>
      <c r="V18" s="25">
        <f t="shared" si="8"/>
        <v>23928.710000000003</v>
      </c>
      <c r="W18" s="25">
        <f t="shared" si="8"/>
        <v>175</v>
      </c>
      <c r="X18" s="25">
        <f t="shared" si="8"/>
        <v>24103.710000000003</v>
      </c>
      <c r="Y18" s="25">
        <f t="shared" si="8"/>
        <v>11488.56</v>
      </c>
      <c r="Z18" s="25">
        <f ca="1">SUM(Z7:Z17)</f>
        <v>7169327.7300000004</v>
      </c>
      <c r="AA18" s="25">
        <f>SUM(AA7:AA17)</f>
        <v>7172942.3399999999</v>
      </c>
      <c r="AB18" s="25">
        <f>U18-AA18</f>
        <v>0</v>
      </c>
      <c r="AC18" s="26">
        <f ca="1">IFERROR(AB18/Table2428308910[[#This Row],[Unit Sum]],0)</f>
        <v>0</v>
      </c>
      <c r="AD18" s="61">
        <f ca="1">SUM(INDIRECT("ad4:ad"&amp;ROW()-1))</f>
        <v>7873.95000000039</v>
      </c>
    </row>
    <row r="20" spans="1:30" x14ac:dyDescent="0.25">
      <c r="A20" t="s">
        <v>882</v>
      </c>
      <c r="R20" s="120" t="s">
        <v>20</v>
      </c>
      <c r="S20" s="121"/>
      <c r="T20" s="121"/>
      <c r="U20" s="50"/>
      <c r="V20" s="120" t="s">
        <v>67</v>
      </c>
      <c r="W20" s="121"/>
      <c r="X20" s="121"/>
      <c r="Y20" s="123" t="s">
        <v>13</v>
      </c>
      <c r="Z20" s="124" t="s">
        <v>10</v>
      </c>
      <c r="AA20" s="125" t="s">
        <v>66</v>
      </c>
      <c r="AB20" s="123" t="s">
        <v>15</v>
      </c>
      <c r="AC20" s="123" t="s">
        <v>18</v>
      </c>
      <c r="AD20" s="123" t="s">
        <v>12</v>
      </c>
    </row>
    <row r="21" spans="1:30" ht="75" x14ac:dyDescent="0.25">
      <c r="A21" s="1" t="s">
        <v>57</v>
      </c>
      <c r="B21" s="2" t="s">
        <v>0</v>
      </c>
      <c r="C21" s="2" t="s">
        <v>53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51</v>
      </c>
      <c r="I21" s="2" t="s">
        <v>6</v>
      </c>
      <c r="J21" s="16" t="s">
        <v>7</v>
      </c>
      <c r="K21" s="16" t="s">
        <v>8</v>
      </c>
      <c r="L21" s="2" t="s">
        <v>50</v>
      </c>
      <c r="M21" s="2" t="s">
        <v>14</v>
      </c>
      <c r="N21" s="2" t="s">
        <v>16</v>
      </c>
      <c r="O21" s="4" t="s">
        <v>17</v>
      </c>
      <c r="P21" s="3" t="s">
        <v>11</v>
      </c>
      <c r="R21" s="2" t="s">
        <v>65</v>
      </c>
      <c r="S21" s="2" t="s">
        <v>62</v>
      </c>
      <c r="T21" s="2" t="s">
        <v>5</v>
      </c>
      <c r="U21" s="2" t="s">
        <v>164</v>
      </c>
      <c r="V21" s="16" t="s">
        <v>64</v>
      </c>
      <c r="W21" s="16" t="s">
        <v>62</v>
      </c>
      <c r="X21" s="45" t="s">
        <v>9</v>
      </c>
      <c r="Y21" s="123"/>
      <c r="Z21" s="124"/>
      <c r="AA21" s="125"/>
      <c r="AB21" s="123"/>
      <c r="AC21" s="123"/>
      <c r="AD21" s="123"/>
    </row>
    <row r="22" spans="1:30" x14ac:dyDescent="0.25">
      <c r="A22" s="96">
        <v>1</v>
      </c>
      <c r="B22" s="97" t="s">
        <v>69</v>
      </c>
      <c r="C22" s="97"/>
      <c r="D22" s="98">
        <v>45886</v>
      </c>
      <c r="E22" s="99" t="s">
        <v>19</v>
      </c>
      <c r="F22" s="59">
        <v>4906</v>
      </c>
      <c r="G22" s="59"/>
      <c r="H22" s="59">
        <v>6375557.6600000001</v>
      </c>
      <c r="I22" s="59">
        <v>4906</v>
      </c>
      <c r="J22" s="59">
        <v>1468.5935589074602</v>
      </c>
      <c r="K22" s="59">
        <v>7204920</v>
      </c>
      <c r="L22" s="59">
        <v>6375557.6600000001</v>
      </c>
      <c r="M22" s="59">
        <v>0</v>
      </c>
      <c r="N22" s="59">
        <v>0</v>
      </c>
      <c r="O22" s="59">
        <v>0</v>
      </c>
      <c r="P22" s="59">
        <v>829362.3400000002</v>
      </c>
      <c r="Q22" s="59"/>
      <c r="R22" s="59">
        <v>745.43999999999994</v>
      </c>
      <c r="S22" s="59">
        <v>50</v>
      </c>
      <c r="T22" s="59">
        <v>795.43999999999994</v>
      </c>
      <c r="U22" s="59">
        <v>7172942.3399999999</v>
      </c>
      <c r="V22" s="59">
        <v>23928.710000000003</v>
      </c>
      <c r="W22" s="59">
        <v>175</v>
      </c>
      <c r="X22" s="59">
        <v>24103.710000000003</v>
      </c>
      <c r="Y22" s="59">
        <v>11488.56</v>
      </c>
      <c r="Z22" s="59">
        <v>7169327.7300000004</v>
      </c>
      <c r="AA22" s="59">
        <v>7172942.3399999999</v>
      </c>
      <c r="AB22" s="59">
        <v>0</v>
      </c>
      <c r="AC22" s="59">
        <v>0</v>
      </c>
      <c r="AD22" s="59">
        <v>7873.95000000039</v>
      </c>
    </row>
  </sheetData>
  <mergeCells count="16">
    <mergeCell ref="AB20:AB21"/>
    <mergeCell ref="AC20:AC21"/>
    <mergeCell ref="AD20:AD21"/>
    <mergeCell ref="R20:T20"/>
    <mergeCell ref="V20:X20"/>
    <mergeCell ref="Y20:Y21"/>
    <mergeCell ref="Z20:Z21"/>
    <mergeCell ref="AA20:AA21"/>
    <mergeCell ref="AC5:AC6"/>
    <mergeCell ref="AD5:AD6"/>
    <mergeCell ref="R5:U5"/>
    <mergeCell ref="V5:X5"/>
    <mergeCell ref="Y5:Y6"/>
    <mergeCell ref="Z5:Z6"/>
    <mergeCell ref="AA5:AA6"/>
    <mergeCell ref="AB5:AB6"/>
  </mergeCells>
  <pageMargins left="0.19685039370078741" right="0.19685039370078741" top="0.74803149606299213" bottom="0.74803149606299213" header="0.31496062992125984" footer="0.31496062992125984"/>
  <pageSetup paperSize="9" scale="52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D6C8A5-4B5E-4AF4-942C-FAF6D52F5662}">
          <x14:formula1>
            <xm:f>VALIDATION!$A$2:$A$7</xm:f>
          </x14:formula1>
          <xm:sqref>E7:E17 E22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F4B8-5BAF-4AED-A012-C8E52D64A5C6}">
  <dimension ref="A1:AE14"/>
  <sheetViews>
    <sheetView view="pageBreakPreview" zoomScaleNormal="100" zoomScaleSheetLayoutView="100" workbookViewId="0">
      <selection activeCell="AD12" sqref="A12:AD13"/>
    </sheetView>
  </sheetViews>
  <sheetFormatPr defaultRowHeight="15" x14ac:dyDescent="0.25"/>
  <cols>
    <col min="1" max="1" width="3.42578125" customWidth="1"/>
    <col min="2" max="2" width="8.140625" bestFit="1" customWidth="1"/>
    <col min="3" max="3" width="18.5703125" customWidth="1"/>
    <col min="4" max="4" width="10.28515625" bestFit="1" customWidth="1"/>
    <col min="6" max="6" width="11.42578125" bestFit="1" customWidth="1"/>
    <col min="7" max="7" width="9.28515625" bestFit="1" customWidth="1"/>
    <col min="8" max="8" width="15.5703125" bestFit="1" customWidth="1"/>
    <col min="9" max="9" width="11" bestFit="1" customWidth="1"/>
    <col min="10" max="10" width="9.140625" bestFit="1" customWidth="1"/>
    <col min="11" max="12" width="15.42578125" bestFit="1" customWidth="1"/>
    <col min="13" max="13" width="13.140625" bestFit="1" customWidth="1"/>
    <col min="14" max="15" width="9.42578125" bestFit="1" customWidth="1"/>
    <col min="16" max="16" width="13.42578125" bestFit="1" customWidth="1"/>
    <col min="17" max="17" width="5.42578125" customWidth="1"/>
    <col min="18" max="18" width="10.85546875" bestFit="1" customWidth="1"/>
    <col min="20" max="20" width="10.85546875" bestFit="1" customWidth="1"/>
    <col min="21" max="21" width="15.140625" bestFit="1" customWidth="1"/>
    <col min="22" max="22" width="10.85546875" bestFit="1" customWidth="1"/>
    <col min="23" max="23" width="9.42578125" customWidth="1"/>
    <col min="24" max="24" width="11.42578125" bestFit="1" customWidth="1"/>
    <col min="25" max="25" width="8.425781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3.42578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60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77</v>
      </c>
      <c r="C7" s="6"/>
      <c r="D7" s="7">
        <v>45855</v>
      </c>
      <c r="E7" s="8" t="s">
        <v>19</v>
      </c>
      <c r="F7" s="9">
        <v>4140</v>
      </c>
      <c r="G7" s="9">
        <v>407.11</v>
      </c>
      <c r="H7" s="9">
        <f>Table24283089107[[#This Row],[PPPU]]*Table24283089107[[#This Row],[Purchase QTY]]</f>
        <v>1685435.4000000001</v>
      </c>
      <c r="I7" s="9"/>
      <c r="J7" s="9"/>
      <c r="K7" s="9"/>
      <c r="L7" s="9"/>
      <c r="M7" s="9">
        <f>Table24283089107[[#This Row],[Total Purchase Amount]]</f>
        <v>1685435.4000000001</v>
      </c>
      <c r="N7" s="9">
        <f>IF(Table24283089107[[#This Row],[Txn Type]]="opening",Table24283089107[[#This Row],[Purchase QTY]],"Error")</f>
        <v>4140</v>
      </c>
      <c r="O7" s="42">
        <f>IFERROR(Table24283089107[[#This Row],[TC AP NFRS]]/Table24283089107[[#This Row],[Unit Sum]],0)</f>
        <v>407.11</v>
      </c>
      <c r="P7" s="10">
        <f>Table24283089107[[#This Row],[Sales Amt]]-Table24283089107[[#This Row],[Principal Cost As per  NFRS (In case of Sales)]]</f>
        <v>0</v>
      </c>
      <c r="R7" s="17"/>
      <c r="S7" s="17"/>
      <c r="T7" s="20">
        <f>R7+S7</f>
        <v>0</v>
      </c>
      <c r="U7" s="20">
        <f>AB7</f>
        <v>1826317.43</v>
      </c>
      <c r="V7" s="20"/>
      <c r="W7" s="20"/>
      <c r="X7" s="20"/>
      <c r="Y7" s="46"/>
      <c r="Z7" s="46"/>
      <c r="AA7" s="46"/>
      <c r="AB7" s="46">
        <f>F7*AC7</f>
        <v>1826317.43</v>
      </c>
      <c r="AC7" s="46">
        <v>441.13947584541063</v>
      </c>
      <c r="AD7" s="58">
        <f>Z7-AA7+Y7</f>
        <v>0</v>
      </c>
    </row>
    <row r="8" spans="1:31" ht="30" x14ac:dyDescent="0.25">
      <c r="A8" s="5">
        <f t="shared" ref="A8:A9" si="0">A7+1</f>
        <v>2</v>
      </c>
      <c r="B8" s="6" t="s">
        <v>77</v>
      </c>
      <c r="C8" s="6" t="s">
        <v>79</v>
      </c>
      <c r="D8" s="7">
        <v>45855</v>
      </c>
      <c r="E8" s="8" t="s">
        <v>20</v>
      </c>
      <c r="F8" s="9">
        <v>1000</v>
      </c>
      <c r="G8" s="9">
        <f>Table24283089107[[#This Row],[Total Purchase Amount]]/Table24283089107[[#This Row],[Purchase QTY]]</f>
        <v>418.95</v>
      </c>
      <c r="H8" s="9">
        <v>418950</v>
      </c>
      <c r="I8" s="9"/>
      <c r="J8" s="9">
        <f ca="1">IFERROR(Table24283089107[[#This Row],[Sales Amt]]/Table24283089107[[#This Row],[Sales Qty]],0)</f>
        <v>0</v>
      </c>
      <c r="K8" s="9">
        <f ca="1">Table24283089107[[#This Row],[Sales Qty]]*Table24283089107[[#This Row],[SPPU]]</f>
        <v>0</v>
      </c>
      <c r="L8" s="9">
        <f>Table24283089107[[#This Row],[Sales Qty]]*O7</f>
        <v>0</v>
      </c>
      <c r="M8" s="9">
        <f>M7+Table24283089107[[#This Row],[Total Purchase Amount]]-Table24283089107[[#This Row],[Principal Cost As per  NFRS (In case of Sales)]]</f>
        <v>2104385.4000000004</v>
      </c>
      <c r="N8" s="9">
        <f>N7+Table24283089107[[#This Row],[Purchase QTY]]-Table24283089107[[#This Row],[Sales Qty]]</f>
        <v>5140</v>
      </c>
      <c r="O8" s="42">
        <f>IFERROR(Table24283089107[[#This Row],[TC AP NFRS]]/Table24283089107[[#This Row],[Unit Sum]],0)</f>
        <v>409.41350194552535</v>
      </c>
      <c r="P8" s="10">
        <f ca="1">Table24283089107[[#This Row],[Sales Amt]]-Table24283089107[[#This Row],[Principal Cost As per  NFRS (In case of Sales)]]</f>
        <v>0</v>
      </c>
      <c r="R8" s="17">
        <f>62.85+1428.17</f>
        <v>1491.02</v>
      </c>
      <c r="S8" s="17">
        <v>25</v>
      </c>
      <c r="T8" s="20">
        <f>R8+S8</f>
        <v>1516.02</v>
      </c>
      <c r="U8" s="20">
        <f>H8+T8</f>
        <v>420466.02</v>
      </c>
      <c r="V8" s="20">
        <v>0</v>
      </c>
      <c r="W8" s="20">
        <v>0</v>
      </c>
      <c r="X8" s="55">
        <f>V8+W8</f>
        <v>0</v>
      </c>
      <c r="Y8" s="20">
        <v>0</v>
      </c>
      <c r="Z8" s="20">
        <f ca="1">K8-X8-Y8</f>
        <v>0</v>
      </c>
      <c r="AA8" s="20">
        <f>I8*AC7</f>
        <v>0</v>
      </c>
      <c r="AB8" s="20">
        <f>AB7+U8-AA8</f>
        <v>2246783.4500000002</v>
      </c>
      <c r="AC8" s="20">
        <f>IFERROR(AB8/N8,0)</f>
        <v>437.11740272373544</v>
      </c>
      <c r="AD8" s="58">
        <f ca="1">Z8-AA8+Y8</f>
        <v>0</v>
      </c>
    </row>
    <row r="9" spans="1:31" ht="30" x14ac:dyDescent="0.25">
      <c r="A9" s="5">
        <f t="shared" si="0"/>
        <v>3</v>
      </c>
      <c r="B9" s="6" t="s">
        <v>77</v>
      </c>
      <c r="C9" s="6" t="s">
        <v>78</v>
      </c>
      <c r="D9" s="7">
        <v>45860</v>
      </c>
      <c r="E9" s="8" t="s">
        <v>21</v>
      </c>
      <c r="F9" s="9">
        <v>0</v>
      </c>
      <c r="G9" s="9">
        <f>IF(Table24283089107[[#This Row],[SPPU]]&gt;0,0,Table24283089107[[#This Row],[Total Purchase Amount]]/Table24283089107[[#This Row],[Purchase QTY]])</f>
        <v>0</v>
      </c>
      <c r="H9" s="9">
        <v>0</v>
      </c>
      <c r="I9" s="9">
        <v>5140</v>
      </c>
      <c r="J9" s="9">
        <f>Table24283089107[[#This Row],[Sales Amt]]/Table24283089107[[#This Row],[Sales Qty]]</f>
        <v>431.72373540856029</v>
      </c>
      <c r="K9" s="9">
        <v>2219060</v>
      </c>
      <c r="L9" s="9">
        <f>Table24283089107[[#This Row],[Sales Qty]]*O8</f>
        <v>2104385.4000000004</v>
      </c>
      <c r="M9" s="9">
        <f>M8+Table24283089107[[#This Row],[Total Purchase Amount]]-Table24283089107[[#This Row],[Principal Cost As per  NFRS (In case of Sales)]]</f>
        <v>0</v>
      </c>
      <c r="N9" s="9">
        <f>N8+Table24283089107[[#This Row],[Purchase QTY]]-Table24283089107[[#This Row],[Sales Qty]]</f>
        <v>0</v>
      </c>
      <c r="O9" s="42">
        <f>IFERROR(Table24283089107[[#This Row],[TC AP NFRS]]/Table24283089107[[#This Row],[Unit Sum]],0)</f>
        <v>0</v>
      </c>
      <c r="P9" s="10">
        <f>Table24283089107[[#This Row],[Sales Amt]]-Table24283089107[[#This Row],[Principal Cost As per  NFRS (In case of Sales)]]</f>
        <v>114674.59999999963</v>
      </c>
      <c r="R9" s="17">
        <v>0</v>
      </c>
      <c r="S9" s="17"/>
      <c r="T9" s="20">
        <f>R9+S9</f>
        <v>0</v>
      </c>
      <c r="U9" s="20">
        <f>H9+T9</f>
        <v>0</v>
      </c>
      <c r="V9" s="20">
        <f>7332.83+332.86</f>
        <v>7665.69</v>
      </c>
      <c r="W9" s="20">
        <v>25</v>
      </c>
      <c r="X9" s="55">
        <f>V9+W9</f>
        <v>7690.69</v>
      </c>
      <c r="Y9" s="20">
        <v>0</v>
      </c>
      <c r="Z9" s="20">
        <f>K9-X9-Y9</f>
        <v>2211369.31</v>
      </c>
      <c r="AA9" s="20">
        <f>I9*AC8</f>
        <v>2246783.4500000002</v>
      </c>
      <c r="AB9" s="20">
        <f>AB8+U9-AA9</f>
        <v>0</v>
      </c>
      <c r="AC9" s="20">
        <f>IFERROR(AB9/N9,0)</f>
        <v>0</v>
      </c>
      <c r="AD9" s="58">
        <f>Z9-AA9+Y9</f>
        <v>-35414.14000000013</v>
      </c>
    </row>
    <row r="10" spans="1:31" ht="15.75" x14ac:dyDescent="0.25">
      <c r="A10" s="11" t="s">
        <v>22</v>
      </c>
      <c r="B10" s="12"/>
      <c r="C10" s="12"/>
      <c r="D10" s="13"/>
      <c r="E10" s="14"/>
      <c r="F10" s="15">
        <f ca="1">SUM(INDIRECT("f4:f"&amp;ROW()-1))</f>
        <v>5140</v>
      </c>
      <c r="G10" s="15"/>
      <c r="H10" s="15">
        <f ca="1">SUM(INDIRECT("h4:h"&amp;ROW()-1))</f>
        <v>2104385.4000000004</v>
      </c>
      <c r="I10" s="15">
        <f ca="1">SUM(INDIRECT("i4:i"&amp;ROW()-1))</f>
        <v>5140</v>
      </c>
      <c r="J10" s="15">
        <f ca="1">Table24283089107[[#This Row],[Sales Amt]]/Table24283089107[[#This Row],[Sales Qty]]</f>
        <v>431.72373540856029</v>
      </c>
      <c r="K10" s="15">
        <f ca="1">SUBTOTAL(109,K7:K9)</f>
        <v>2219060</v>
      </c>
      <c r="L10" s="15">
        <f>SUBTOTAL(109,L7:L9)</f>
        <v>2104385.4000000004</v>
      </c>
      <c r="M10" s="15">
        <f ca="1">Table24283089107[[#This Row],[Total Purchase Amount]]-Table24283089107[[#This Row],[Principal Cost As per  NFRS (In case of Sales)]]</f>
        <v>0</v>
      </c>
      <c r="N10" s="15">
        <f ca="1">Table24283089107[[#This Row],[Purchase QTY]]-Table24283089107[[#This Row],[Sales Qty]]</f>
        <v>0</v>
      </c>
      <c r="O10" s="43">
        <f ca="1">IFERROR(Table24283089107[[#This Row],[TC AP NFRS]]/Table24283089107[[#This Row],[Unit Sum]],0)</f>
        <v>0</v>
      </c>
      <c r="P10" s="15">
        <f ca="1">SUM(INDIRECT("p4:p"&amp;ROW()-1))</f>
        <v>114674.59999999963</v>
      </c>
      <c r="R10" s="54">
        <f t="shared" ref="R10:AA10" si="1">SUM(R7:R9)</f>
        <v>1491.02</v>
      </c>
      <c r="S10" s="54">
        <f t="shared" si="1"/>
        <v>25</v>
      </c>
      <c r="T10" s="54">
        <f t="shared" si="1"/>
        <v>1516.02</v>
      </c>
      <c r="U10" s="54">
        <f t="shared" si="1"/>
        <v>2246783.4500000002</v>
      </c>
      <c r="V10" s="54">
        <f t="shared" si="1"/>
        <v>7665.69</v>
      </c>
      <c r="W10" s="54">
        <f t="shared" si="1"/>
        <v>25</v>
      </c>
      <c r="X10" s="54">
        <f t="shared" si="1"/>
        <v>7690.69</v>
      </c>
      <c r="Y10" s="54">
        <f t="shared" si="1"/>
        <v>0</v>
      </c>
      <c r="Z10" s="54">
        <f t="shared" ca="1" si="1"/>
        <v>2211369.31</v>
      </c>
      <c r="AA10" s="54">
        <f t="shared" si="1"/>
        <v>2246783.4500000002</v>
      </c>
      <c r="AB10" s="54">
        <f>U10-AA10</f>
        <v>0</v>
      </c>
      <c r="AC10" s="26">
        <f ca="1">IFERROR(AB10/Table24283089107[[#This Row],[Unit Sum]],0)</f>
        <v>0</v>
      </c>
      <c r="AD10" s="63">
        <f ca="1">SUM(AD7:AD9)</f>
        <v>-35414.14000000013</v>
      </c>
    </row>
    <row r="12" spans="1:31" x14ac:dyDescent="0.25">
      <c r="A12" t="s">
        <v>882</v>
      </c>
      <c r="R12" s="120" t="s">
        <v>20</v>
      </c>
      <c r="S12" s="121"/>
      <c r="T12" s="121"/>
      <c r="U12" s="50"/>
      <c r="V12" s="120" t="s">
        <v>67</v>
      </c>
      <c r="W12" s="121"/>
      <c r="X12" s="121"/>
      <c r="Y12" s="123" t="s">
        <v>13</v>
      </c>
      <c r="Z12" s="124" t="s">
        <v>10</v>
      </c>
      <c r="AA12" s="125" t="s">
        <v>66</v>
      </c>
      <c r="AB12" s="123" t="s">
        <v>15</v>
      </c>
      <c r="AC12" s="123" t="s">
        <v>18</v>
      </c>
      <c r="AD12" s="123" t="s">
        <v>12</v>
      </c>
    </row>
    <row r="13" spans="1:31" ht="60" x14ac:dyDescent="0.25">
      <c r="A13" s="1" t="s">
        <v>57</v>
      </c>
      <c r="B13" s="2" t="s">
        <v>0</v>
      </c>
      <c r="C13" s="2" t="s">
        <v>53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51</v>
      </c>
      <c r="I13" s="2" t="s">
        <v>6</v>
      </c>
      <c r="J13" s="16" t="s">
        <v>7</v>
      </c>
      <c r="K13" s="16" t="s">
        <v>8</v>
      </c>
      <c r="L13" s="2" t="s">
        <v>50</v>
      </c>
      <c r="M13" s="2" t="s">
        <v>14</v>
      </c>
      <c r="N13" s="2" t="s">
        <v>16</v>
      </c>
      <c r="O13" s="4" t="s">
        <v>17</v>
      </c>
      <c r="P13" s="3" t="s">
        <v>11</v>
      </c>
      <c r="R13" s="2" t="s">
        <v>65</v>
      </c>
      <c r="S13" s="2" t="s">
        <v>62</v>
      </c>
      <c r="T13" s="2" t="s">
        <v>5</v>
      </c>
      <c r="U13" s="2" t="s">
        <v>164</v>
      </c>
      <c r="V13" s="16" t="s">
        <v>64</v>
      </c>
      <c r="W13" s="16" t="s">
        <v>62</v>
      </c>
      <c r="X13" s="45" t="s">
        <v>9</v>
      </c>
      <c r="Y13" s="123"/>
      <c r="Z13" s="124"/>
      <c r="AA13" s="125"/>
      <c r="AB13" s="123"/>
      <c r="AC13" s="123"/>
      <c r="AD13" s="123"/>
    </row>
    <row r="14" spans="1:31" x14ac:dyDescent="0.25">
      <c r="A14" s="96">
        <v>1</v>
      </c>
      <c r="B14" s="97" t="s">
        <v>77</v>
      </c>
      <c r="C14" s="97"/>
      <c r="D14" s="98">
        <v>45886</v>
      </c>
      <c r="E14" s="99" t="s">
        <v>19</v>
      </c>
      <c r="F14" s="59">
        <v>5140</v>
      </c>
      <c r="G14" s="59"/>
      <c r="H14" s="59">
        <v>2104385.4000000004</v>
      </c>
      <c r="I14" s="59">
        <v>5140</v>
      </c>
      <c r="J14" s="59">
        <v>431.72373540856029</v>
      </c>
      <c r="K14" s="59">
        <v>2219060</v>
      </c>
      <c r="L14" s="59">
        <v>2104385.4000000004</v>
      </c>
      <c r="M14" s="59">
        <v>0</v>
      </c>
      <c r="N14" s="59">
        <v>0</v>
      </c>
      <c r="O14" s="59">
        <v>0</v>
      </c>
      <c r="P14" s="59">
        <v>114674.59999999963</v>
      </c>
      <c r="Q14" s="59"/>
      <c r="R14" s="59">
        <v>1491.02</v>
      </c>
      <c r="S14" s="59">
        <v>25</v>
      </c>
      <c r="T14" s="59">
        <v>1516.02</v>
      </c>
      <c r="U14" s="59">
        <v>2246783.4500000002</v>
      </c>
      <c r="V14" s="59">
        <v>7665.69</v>
      </c>
      <c r="W14" s="59">
        <v>25</v>
      </c>
      <c r="X14" s="59">
        <v>7690.69</v>
      </c>
      <c r="Y14" s="59">
        <v>0</v>
      </c>
      <c r="Z14" s="59">
        <v>2211369.31</v>
      </c>
      <c r="AA14" s="59">
        <v>2246783.4500000002</v>
      </c>
      <c r="AB14" s="59">
        <v>0</v>
      </c>
      <c r="AC14" s="59">
        <v>0</v>
      </c>
      <c r="AD14" s="59">
        <v>-35414.14000000013</v>
      </c>
    </row>
  </sheetData>
  <mergeCells count="16">
    <mergeCell ref="AB12:AB13"/>
    <mergeCell ref="AC12:AC13"/>
    <mergeCell ref="AD12:AD13"/>
    <mergeCell ref="R12:T12"/>
    <mergeCell ref="V12:X12"/>
    <mergeCell ref="Y12:Y13"/>
    <mergeCell ref="Z12:Z13"/>
    <mergeCell ref="AA12:AA13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19685039370078741" right="0.19685039370078741" top="0.74803149606299213" bottom="0.74803149606299213" header="0.31496062992125984" footer="0.31496062992125984"/>
  <pageSetup paperSize="9" scale="54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A3CE661-6A05-43AF-8005-577236B25E75}">
          <x14:formula1>
            <xm:f>VALIDATION!$A$2:$A$7</xm:f>
          </x14:formula1>
          <xm:sqref>E7:E9 E14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9965-D9F7-4DEA-A866-85BFFF446E84}">
  <sheetPr>
    <pageSetUpPr fitToPage="1"/>
  </sheetPr>
  <dimension ref="A1:AE16"/>
  <sheetViews>
    <sheetView topLeftCell="A3" zoomScaleNormal="100" workbookViewId="0">
      <selection activeCell="L15" sqref="L15"/>
    </sheetView>
  </sheetViews>
  <sheetFormatPr defaultRowHeight="15" x14ac:dyDescent="0.25"/>
  <cols>
    <col min="1" max="1" width="6.7109375" customWidth="1"/>
    <col min="2" max="2" width="10.7109375" customWidth="1"/>
    <col min="3" max="3" width="13.5703125" customWidth="1"/>
    <col min="4" max="4" width="10.28515625" bestFit="1" customWidth="1"/>
    <col min="5" max="5" width="8.28515625" bestFit="1" customWidth="1"/>
    <col min="6" max="6" width="10.42578125" bestFit="1" customWidth="1"/>
    <col min="7" max="7" width="8.7109375" bestFit="1" customWidth="1"/>
    <col min="8" max="8" width="14.85546875" bestFit="1" customWidth="1"/>
    <col min="9" max="10" width="10.140625" bestFit="1" customWidth="1"/>
    <col min="11" max="12" width="13.5703125" bestFit="1" customWidth="1"/>
    <col min="13" max="13" width="14.85546875" bestFit="1" customWidth="1"/>
    <col min="14" max="14" width="10.140625" bestFit="1" customWidth="1"/>
    <col min="15" max="15" width="12.140625" bestFit="1" customWidth="1"/>
    <col min="16" max="16" width="13.5703125" bestFit="1" customWidth="1"/>
    <col min="17" max="17" width="2.42578125" customWidth="1"/>
    <col min="18" max="18" width="10.5703125" bestFit="1" customWidth="1"/>
    <col min="20" max="20" width="10.42578125" bestFit="1" customWidth="1"/>
    <col min="21" max="21" width="14.85546875" bestFit="1" customWidth="1"/>
    <col min="22" max="22" width="10.140625" bestFit="1" customWidth="1"/>
    <col min="23" max="23" width="9.140625" bestFit="1" customWidth="1"/>
    <col min="24" max="24" width="10.7109375" bestFit="1" customWidth="1"/>
    <col min="25" max="25" width="17.140625" bestFit="1" customWidth="1"/>
    <col min="26" max="26" width="17.7109375" bestFit="1" customWidth="1"/>
    <col min="27" max="27" width="34.5703125" bestFit="1" customWidth="1"/>
    <col min="28" max="28" width="14.5703125" bestFit="1" customWidth="1"/>
    <col min="29" max="29" width="14.7109375" bestFit="1" customWidth="1"/>
    <col min="30" max="30" width="13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80</v>
      </c>
      <c r="C7" s="6"/>
      <c r="D7" s="7">
        <v>45855</v>
      </c>
      <c r="E7" s="8" t="s">
        <v>19</v>
      </c>
      <c r="F7" s="9">
        <v>148</v>
      </c>
      <c r="G7" s="9">
        <v>922.78</v>
      </c>
      <c r="H7" s="9">
        <f>Table2428308910711[[#This Row],[PPPU]]*Table2428308910711[[#This Row],[Purchase QTY]]</f>
        <v>136571.44</v>
      </c>
      <c r="I7" s="9"/>
      <c r="J7" s="9"/>
      <c r="K7" s="9"/>
      <c r="L7" s="9"/>
      <c r="M7" s="9">
        <f>Table2428308910711[[#This Row],[Total Purchase Amount]]</f>
        <v>136571.44</v>
      </c>
      <c r="N7" s="9">
        <f>IF(Table2428308910711[[#This Row],[Txn Type]]="opening",Table2428308910711[[#This Row],[Purchase QTY]],"Error")</f>
        <v>148</v>
      </c>
      <c r="O7" s="42">
        <f>IFERROR(Table2428308910711[[#This Row],[TC AP NFRS]]/Table2428308910711[[#This Row],[Unit Sum]],0)</f>
        <v>922.78</v>
      </c>
      <c r="P7" s="10">
        <f>Table2428308910711[[#This Row],[Sales Amt]]-Table2428308910711[[#This Row],[Principal Cost As per  NFRS (In case of Sales)]]</f>
        <v>0</v>
      </c>
      <c r="R7" s="17"/>
      <c r="S7" s="17"/>
      <c r="T7" s="20">
        <f>R7+S7</f>
        <v>0</v>
      </c>
      <c r="U7" s="20">
        <f>AB7</f>
        <v>136894.08000000002</v>
      </c>
      <c r="V7" s="20"/>
      <c r="W7" s="20"/>
      <c r="X7" s="20"/>
      <c r="Y7" s="46"/>
      <c r="Z7" s="46"/>
      <c r="AA7" s="46"/>
      <c r="AB7" s="46">
        <f>F7*AC7</f>
        <v>136894.08000000002</v>
      </c>
      <c r="AC7" s="46">
        <v>924.96</v>
      </c>
      <c r="AD7" s="56"/>
    </row>
    <row r="8" spans="1:31" ht="30" x14ac:dyDescent="0.25">
      <c r="A8" s="5">
        <f t="shared" ref="A8" si="0">A7+1</f>
        <v>2</v>
      </c>
      <c r="B8" s="6" t="s">
        <v>80</v>
      </c>
      <c r="C8" s="6" t="s">
        <v>61</v>
      </c>
      <c r="D8" s="7">
        <v>45855</v>
      </c>
      <c r="E8" s="8" t="s">
        <v>21</v>
      </c>
      <c r="F8" s="9">
        <v>0</v>
      </c>
      <c r="G8" s="9">
        <f>IF(Table2428308910711[[#This Row],[SPPU]]&gt;0,0,Table2428308910711[[#This Row],[Total Purchase Amount]]/Table2428308910711[[#This Row],[Purchase QTY]])</f>
        <v>0</v>
      </c>
      <c r="H8" s="9">
        <v>0</v>
      </c>
      <c r="I8" s="9">
        <v>65</v>
      </c>
      <c r="J8" s="9">
        <f>IFERROR(Table2428308910711[[#This Row],[Sales Amt]]/Table2428308910711[[#This Row],[Sales Qty]],0)</f>
        <v>953.9</v>
      </c>
      <c r="K8" s="9">
        <v>62003.5</v>
      </c>
      <c r="L8" s="9">
        <f>Table2428308910711[[#This Row],[Sales Qty]]*O7</f>
        <v>59980.7</v>
      </c>
      <c r="M8" s="9">
        <f>M7+Table2428308910711[[#This Row],[Total Purchase Amount]]-Table2428308910711[[#This Row],[Principal Cost As per  NFRS (In case of Sales)]]</f>
        <v>76590.740000000005</v>
      </c>
      <c r="N8" s="9">
        <f>N7+Table2428308910711[[#This Row],[Purchase QTY]]-Table2428308910711[[#This Row],[Sales Qty]]</f>
        <v>83</v>
      </c>
      <c r="O8" s="42">
        <f>IFERROR(Table2428308910711[[#This Row],[TC AP NFRS]]/Table2428308910711[[#This Row],[Unit Sum]],0)</f>
        <v>922.78000000000009</v>
      </c>
      <c r="P8" s="10">
        <f>Table2428308910711[[#This Row],[Sales Amt]]-Table2428308910711[[#This Row],[Principal Cost As per  NFRS (In case of Sales)]]</f>
        <v>2022.8000000000029</v>
      </c>
      <c r="R8" s="17">
        <v>0</v>
      </c>
      <c r="S8" s="17"/>
      <c r="T8" s="20">
        <f>R8+S8</f>
        <v>0</v>
      </c>
      <c r="U8" s="20">
        <f>H8+T8</f>
        <v>0</v>
      </c>
      <c r="V8" s="20">
        <f>204.61+9.3</f>
        <v>213.91000000000003</v>
      </c>
      <c r="W8" s="20">
        <v>25</v>
      </c>
      <c r="X8" s="55">
        <f>V8+W8</f>
        <v>238.91000000000003</v>
      </c>
      <c r="Y8" s="20">
        <v>164.22</v>
      </c>
      <c r="Z8" s="20">
        <f>K8-X8-Y8</f>
        <v>61600.369999999995</v>
      </c>
      <c r="AA8" s="20">
        <f>I8*AC7</f>
        <v>60122.400000000001</v>
      </c>
      <c r="AB8" s="20">
        <f>AB7+U8-AA8</f>
        <v>76771.680000000022</v>
      </c>
      <c r="AC8" s="20">
        <v>100</v>
      </c>
      <c r="AD8" s="56">
        <f>Z8-AA8+Y8</f>
        <v>1642.1899999999939</v>
      </c>
    </row>
    <row r="9" spans="1:31" ht="15.75" x14ac:dyDescent="0.25">
      <c r="A9" s="11" t="s">
        <v>22</v>
      </c>
      <c r="B9" s="12"/>
      <c r="C9" s="12"/>
      <c r="D9" s="13"/>
      <c r="E9" s="14"/>
      <c r="F9" s="15">
        <f ca="1">SUM(INDIRECT("f4:f"&amp;ROW()-1))</f>
        <v>148</v>
      </c>
      <c r="G9" s="15"/>
      <c r="H9" s="15">
        <f ca="1">SUM(INDIRECT("h4:h"&amp;ROW()-1))</f>
        <v>136571.44</v>
      </c>
      <c r="I9" s="15">
        <f ca="1">SUM(INDIRECT("i4:i"&amp;ROW()-1))</f>
        <v>65</v>
      </c>
      <c r="J9" s="15">
        <f ca="1">Table2428308910711[[#This Row],[Sales Amt]]/Table2428308910711[[#This Row],[Sales Qty]]</f>
        <v>953.9</v>
      </c>
      <c r="K9" s="15">
        <f>SUBTOTAL(109,K7:K8)</f>
        <v>62003.5</v>
      </c>
      <c r="L9" s="15">
        <f>SUBTOTAL(109,L7:L8)</f>
        <v>59980.7</v>
      </c>
      <c r="M9" s="15">
        <f ca="1">Table2428308910711[[#This Row],[Total Purchase Amount]]-Table2428308910711[[#This Row],[Principal Cost As per  NFRS (In case of Sales)]]</f>
        <v>76590.740000000005</v>
      </c>
      <c r="N9" s="15">
        <f ca="1">Table2428308910711[[#This Row],[Purchase QTY]]-Table2428308910711[[#This Row],[Sales Qty]]</f>
        <v>83</v>
      </c>
      <c r="O9" s="43">
        <f ca="1">IFERROR(Table2428308910711[[#This Row],[TC AP NFRS]]/Table2428308910711[[#This Row],[Unit Sum]],0)</f>
        <v>922.78000000000009</v>
      </c>
      <c r="P9" s="15">
        <f ca="1">SUM(INDIRECT("p4:p"&amp;ROW()-1))</f>
        <v>2022.8000000000029</v>
      </c>
      <c r="R9" s="25">
        <f t="shared" ref="R9:U9" si="1">SUM(R7:R8)</f>
        <v>0</v>
      </c>
      <c r="S9" s="25">
        <f t="shared" si="1"/>
        <v>0</v>
      </c>
      <c r="T9" s="25">
        <f t="shared" si="1"/>
        <v>0</v>
      </c>
      <c r="U9" s="25">
        <f t="shared" si="1"/>
        <v>136894.08000000002</v>
      </c>
      <c r="V9" s="25">
        <f>SUM(V7:V8)</f>
        <v>213.91000000000003</v>
      </c>
      <c r="W9" s="25">
        <f t="shared" ref="W9:AD9" si="2">SUM(W7:W8)</f>
        <v>25</v>
      </c>
      <c r="X9" s="25">
        <f t="shared" si="2"/>
        <v>238.91000000000003</v>
      </c>
      <c r="Y9" s="25">
        <f t="shared" si="2"/>
        <v>164.22</v>
      </c>
      <c r="Z9" s="25">
        <f t="shared" si="2"/>
        <v>61600.369999999995</v>
      </c>
      <c r="AA9" s="25">
        <f t="shared" si="2"/>
        <v>60122.400000000001</v>
      </c>
      <c r="AB9" s="25">
        <f>U9-AA9</f>
        <v>76771.680000000022</v>
      </c>
      <c r="AC9" s="25">
        <f ca="1">IFERROR(AB9/Table2428308910711[[#This Row],[WACC AP NFRS]],0)</f>
        <v>83.196081406185669</v>
      </c>
      <c r="AD9" s="25">
        <f t="shared" si="2"/>
        <v>1642.1899999999939</v>
      </c>
    </row>
    <row r="12" spans="1:31" x14ac:dyDescent="0.25">
      <c r="A12" t="s">
        <v>882</v>
      </c>
      <c r="R12" s="120" t="s">
        <v>20</v>
      </c>
      <c r="S12" s="121"/>
      <c r="T12" s="121"/>
      <c r="U12" s="50"/>
      <c r="V12" s="120" t="s">
        <v>67</v>
      </c>
      <c r="W12" s="121"/>
      <c r="X12" s="121"/>
      <c r="Y12" s="126" t="s">
        <v>13</v>
      </c>
      <c r="Z12" s="127" t="s">
        <v>10</v>
      </c>
      <c r="AA12" s="128" t="s">
        <v>66</v>
      </c>
      <c r="AB12" s="126" t="s">
        <v>15</v>
      </c>
      <c r="AC12" s="126" t="s">
        <v>18</v>
      </c>
      <c r="AD12" s="126" t="s">
        <v>12</v>
      </c>
    </row>
    <row r="13" spans="1:31" s="91" customFormat="1" ht="75" x14ac:dyDescent="0.25">
      <c r="A13" s="86" t="s">
        <v>57</v>
      </c>
      <c r="B13" s="87" t="s">
        <v>0</v>
      </c>
      <c r="C13" s="87" t="s">
        <v>53</v>
      </c>
      <c r="D13" s="87" t="s">
        <v>1</v>
      </c>
      <c r="E13" s="87" t="s">
        <v>2</v>
      </c>
      <c r="F13" s="87" t="s">
        <v>3</v>
      </c>
      <c r="G13" s="87" t="s">
        <v>4</v>
      </c>
      <c r="H13" s="87" t="s">
        <v>51</v>
      </c>
      <c r="I13" s="87" t="s">
        <v>6</v>
      </c>
      <c r="J13" s="88" t="s">
        <v>7</v>
      </c>
      <c r="K13" s="88" t="s">
        <v>8</v>
      </c>
      <c r="L13" s="87" t="s">
        <v>50</v>
      </c>
      <c r="M13" s="87" t="s">
        <v>883</v>
      </c>
      <c r="N13" s="87" t="s">
        <v>16</v>
      </c>
      <c r="O13" s="89" t="s">
        <v>17</v>
      </c>
      <c r="P13" s="90" t="s">
        <v>11</v>
      </c>
      <c r="R13" s="92" t="s">
        <v>65</v>
      </c>
      <c r="S13" s="92" t="s">
        <v>62</v>
      </c>
      <c r="T13" s="92" t="s">
        <v>5</v>
      </c>
      <c r="U13" s="92" t="s">
        <v>164</v>
      </c>
      <c r="V13" s="93" t="s">
        <v>64</v>
      </c>
      <c r="W13" s="93" t="s">
        <v>62</v>
      </c>
      <c r="X13" s="94" t="s">
        <v>9</v>
      </c>
      <c r="Y13" s="126"/>
      <c r="Z13" s="127"/>
      <c r="AA13" s="128"/>
      <c r="AB13" s="126"/>
      <c r="AC13" s="126"/>
      <c r="AD13" s="126"/>
    </row>
    <row r="14" spans="1:31" s="91" customFormat="1" x14ac:dyDescent="0.25">
      <c r="A14" s="5">
        <v>1</v>
      </c>
      <c r="B14" s="6" t="s">
        <v>80</v>
      </c>
      <c r="C14" s="6"/>
      <c r="D14" s="7">
        <v>45886</v>
      </c>
      <c r="E14" s="8" t="s">
        <v>19</v>
      </c>
      <c r="F14" s="100">
        <v>148</v>
      </c>
      <c r="G14" s="100"/>
      <c r="H14" s="100">
        <v>136571.44</v>
      </c>
      <c r="I14" s="100">
        <v>65</v>
      </c>
      <c r="J14" s="102">
        <v>953.9</v>
      </c>
      <c r="K14" s="102">
        <v>62003.5</v>
      </c>
      <c r="L14" s="100">
        <v>59980.7</v>
      </c>
      <c r="M14" s="100">
        <v>76590.740000000005</v>
      </c>
      <c r="N14" s="100">
        <v>83</v>
      </c>
      <c r="O14" s="103">
        <v>922.78000000000009</v>
      </c>
      <c r="P14" s="100">
        <v>2022.8000000000029</v>
      </c>
      <c r="Q14" s="104"/>
      <c r="R14" s="105">
        <v>0</v>
      </c>
      <c r="S14" s="105">
        <v>0</v>
      </c>
      <c r="T14" s="105">
        <v>0</v>
      </c>
      <c r="U14" s="105">
        <v>136894.08000000002</v>
      </c>
      <c r="V14" s="106">
        <v>213.91000000000003</v>
      </c>
      <c r="W14" s="106">
        <v>25</v>
      </c>
      <c r="X14" s="107">
        <v>238.91000000000003</v>
      </c>
      <c r="Y14" s="101">
        <v>164.22</v>
      </c>
      <c r="Z14" s="101">
        <v>61600.369999999995</v>
      </c>
      <c r="AA14" s="101">
        <v>60122.400000000001</v>
      </c>
      <c r="AB14" s="101">
        <v>76771.680000000022</v>
      </c>
      <c r="AC14" s="101">
        <v>83.196081406185669</v>
      </c>
      <c r="AD14" s="101">
        <v>1642.1899999999939</v>
      </c>
    </row>
    <row r="15" spans="1:31" ht="30" x14ac:dyDescent="0.25">
      <c r="A15" s="5">
        <v>2</v>
      </c>
      <c r="B15" s="6" t="s">
        <v>80</v>
      </c>
      <c r="C15" s="6" t="s">
        <v>884</v>
      </c>
      <c r="D15" s="7">
        <v>45890</v>
      </c>
      <c r="E15" s="8" t="s">
        <v>21</v>
      </c>
      <c r="F15" s="9">
        <v>0</v>
      </c>
      <c r="G15" s="9">
        <f>IF(Table242830891071155[[#This Row],[SPPU]]&gt;0,0,Table242830891071155[[#This Row],[Total Purchase Amount]]/Table242830891071155[[#This Row],[Purchase QTY]])</f>
        <v>0</v>
      </c>
      <c r="H15" s="9">
        <v>0</v>
      </c>
      <c r="I15" s="9">
        <v>83</v>
      </c>
      <c r="J15" s="9">
        <f>Table242830891071155[[#This Row],[Sales Amt]]/Table242830891071155[[#This Row],[Sales Qty]]</f>
        <v>984</v>
      </c>
      <c r="K15" s="9">
        <v>81672</v>
      </c>
      <c r="L15" s="9">
        <f>Table242830891071155[[#This Row],[Sales Qty]]*O8</f>
        <v>76590.740000000005</v>
      </c>
      <c r="M15" s="9">
        <f>M14+Table242830891071155[[#This Row],[Total Purchase Amount]]-Table242830891071155[[#This Row],[Principal Cost As per  NFRS (In case of Sales)]]</f>
        <v>0</v>
      </c>
      <c r="N15" s="9">
        <f>N8+Table242830891071155[[#This Row],[Purchase QTY]]-Table242830891071155[[#This Row],[Sales Qty]]</f>
        <v>0</v>
      </c>
      <c r="O15" s="42">
        <f>IFERROR(Table242830891071155[[#This Row],[TC AP NFRS (Closing)]]/Table242830891071155[[#This Row],[Unit Sum]],0)</f>
        <v>0</v>
      </c>
      <c r="P15" s="10">
        <f>Table242830891071155[[#This Row],[Sales Amt]]-Table242830891071155[[#This Row],[Principal Cost As per  NFRS (In case of Sales)]]</f>
        <v>5081.2599999999948</v>
      </c>
      <c r="R15" s="17">
        <v>0</v>
      </c>
      <c r="S15" s="17"/>
      <c r="T15" s="20">
        <f>R15+S15</f>
        <v>0</v>
      </c>
      <c r="U15" s="20">
        <f>H15+T15</f>
        <v>0</v>
      </c>
      <c r="V15" s="20">
        <f>269.52+12.25</f>
        <v>281.77</v>
      </c>
      <c r="W15" s="20">
        <v>25</v>
      </c>
      <c r="X15" s="55">
        <f>V15+W15</f>
        <v>306.77</v>
      </c>
      <c r="Y15" s="20">
        <v>7306.52</v>
      </c>
      <c r="Z15" s="20">
        <f>K15-X15-Y15</f>
        <v>74058.709999999992</v>
      </c>
      <c r="AA15" s="20">
        <f>Table242830891071155[[#This Row],[Sales Qty]]*AC8</f>
        <v>8300</v>
      </c>
      <c r="AB15" s="20">
        <f>AB8+U15-AA15</f>
        <v>68471.680000000022</v>
      </c>
      <c r="AC15" s="20">
        <f>IFERROR(AB15/N15,0)</f>
        <v>0</v>
      </c>
      <c r="AD15" s="56">
        <f>Z15-AA15+Y15</f>
        <v>73065.23</v>
      </c>
    </row>
    <row r="16" spans="1:31" ht="30" x14ac:dyDescent="0.25">
      <c r="A16" s="108">
        <v>2</v>
      </c>
      <c r="B16" s="97" t="s">
        <v>80</v>
      </c>
      <c r="C16" s="97" t="s">
        <v>900</v>
      </c>
      <c r="D16" s="98">
        <v>45895</v>
      </c>
      <c r="E16" t="s">
        <v>20</v>
      </c>
      <c r="F16" s="9">
        <v>2000</v>
      </c>
      <c r="G16" s="9">
        <f>H16/F16</f>
        <v>996.5</v>
      </c>
      <c r="H16" s="9">
        <v>1993000</v>
      </c>
      <c r="I16" s="9"/>
      <c r="J16" s="9"/>
      <c r="K16" s="9"/>
      <c r="L16" s="9"/>
      <c r="M16" s="9">
        <f>M15+H16-L16</f>
        <v>1993000</v>
      </c>
      <c r="N16" s="9">
        <f>N15+F16-I16</f>
        <v>2000</v>
      </c>
      <c r="O16" s="42">
        <f>IFERROR(M16/N16,0)</f>
        <v>996.5</v>
      </c>
      <c r="P16" s="10"/>
      <c r="R16" s="17">
        <f>6492.06+298.96</f>
        <v>6791.02</v>
      </c>
      <c r="S16" s="17">
        <v>25</v>
      </c>
      <c r="T16" s="20">
        <f t="shared" ref="T16" si="3">R16+S16</f>
        <v>6816.02</v>
      </c>
      <c r="U16" s="20">
        <f t="shared" ref="U16" si="4">H16+T16</f>
        <v>1999816.02</v>
      </c>
      <c r="V16" s="20">
        <v>0</v>
      </c>
      <c r="W16" s="20"/>
      <c r="X16" s="55"/>
      <c r="Y16" s="20"/>
      <c r="Z16" s="20"/>
      <c r="AA16" s="20"/>
      <c r="AB16" s="20">
        <f t="shared" ref="AB16" si="5">AB15+U16-AA16</f>
        <v>2068287.7</v>
      </c>
      <c r="AC16" s="20">
        <f t="shared" ref="AC16" si="6">IFERROR(AB16/N16,0)</f>
        <v>1034.1438499999999</v>
      </c>
      <c r="AD16" s="56">
        <f t="shared" ref="AD16" si="7">Z16-AA16+Y16</f>
        <v>0</v>
      </c>
    </row>
  </sheetData>
  <mergeCells count="16">
    <mergeCell ref="AB12:AB13"/>
    <mergeCell ref="AC12:AC13"/>
    <mergeCell ref="AD12:AD13"/>
    <mergeCell ref="R12:T12"/>
    <mergeCell ref="V12:X12"/>
    <mergeCell ref="Y12:Y13"/>
    <mergeCell ref="Z12:Z13"/>
    <mergeCell ref="AA12:AA13"/>
    <mergeCell ref="AD5:AD6"/>
    <mergeCell ref="R5:T5"/>
    <mergeCell ref="AB5:AB6"/>
    <mergeCell ref="AC5:AC6"/>
    <mergeCell ref="V5:X5"/>
    <mergeCell ref="Y5:Y6"/>
    <mergeCell ref="Z5:Z6"/>
    <mergeCell ref="AA5:AA6"/>
  </mergeCells>
  <pageMargins left="0.19685039370078741" right="0.19685039370078741" top="0.74803149606299213" bottom="0.74803149606299213" header="0.31496062992125984" footer="0.31496062992125984"/>
  <pageSetup paperSize="9" scale="52" fitToHeight="0" orientation="landscape" horizontalDpi="300" verticalDpi="300" r:id="rId1"/>
  <colBreaks count="1" manualBreakCount="1">
    <brk id="25" max="1048575" man="1"/>
  </colBreaks>
  <legacy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3A2F02E-460F-4807-87D4-C011BF28BCCD}">
          <x14:formula1>
            <xm:f>VALIDATION!$A$2:$A$7</xm:f>
          </x14:formula1>
          <xm:sqref>E7:E8 E14:E15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A923-6024-4FA5-9C9C-7EBD3E67B5CA}">
  <dimension ref="A1:AE16"/>
  <sheetViews>
    <sheetView topLeftCell="A5" zoomScaleNormal="100" workbookViewId="0">
      <selection activeCell="B14" sqref="B14"/>
    </sheetView>
  </sheetViews>
  <sheetFormatPr defaultRowHeight="15" x14ac:dyDescent="0.25"/>
  <cols>
    <col min="1" max="1" width="12" customWidth="1"/>
    <col min="2" max="2" width="6.85546875" bestFit="1" customWidth="1"/>
    <col min="3" max="3" width="15.85546875" bestFit="1" customWidth="1"/>
    <col min="4" max="4" width="10.28515625" bestFit="1" customWidth="1"/>
    <col min="5" max="5" width="8.28515625" bestFit="1" customWidth="1"/>
    <col min="6" max="6" width="12.140625" bestFit="1" customWidth="1"/>
    <col min="7" max="7" width="10.42578125" bestFit="1" customWidth="1"/>
    <col min="8" max="8" width="16.85546875" bestFit="1" customWidth="1"/>
    <col min="9" max="10" width="12.140625" bestFit="1" customWidth="1"/>
    <col min="11" max="11" width="16.85546875" bestFit="1" customWidth="1"/>
    <col min="12" max="13" width="14.5703125" bestFit="1" customWidth="1"/>
    <col min="14" max="15" width="10.42578125" bestFit="1" customWidth="1"/>
    <col min="16" max="16" width="15.140625" bestFit="1" customWidth="1"/>
    <col min="17" max="17" width="5.85546875" customWidth="1"/>
    <col min="18" max="18" width="8.140625" bestFit="1" customWidth="1"/>
    <col min="20" max="20" width="8.140625" bestFit="1" customWidth="1"/>
    <col min="21" max="21" width="17.7109375" bestFit="1" customWidth="1"/>
    <col min="22" max="22" width="12.85546875" bestFit="1" customWidth="1"/>
    <col min="23" max="23" width="10.85546875" bestFit="1" customWidth="1"/>
    <col min="24" max="24" width="12.85546875" bestFit="1" customWidth="1"/>
    <col min="25" max="25" width="17.140625" bestFit="1" customWidth="1"/>
    <col min="26" max="26" width="17.7109375" bestFit="1" customWidth="1"/>
    <col min="27" max="27" width="34.5703125" bestFit="1" customWidth="1"/>
    <col min="28" max="28" width="14.5703125" bestFit="1" customWidth="1"/>
    <col min="29" max="29" width="14.7109375" bestFit="1" customWidth="1"/>
    <col min="30" max="30" width="14.285156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x14ac:dyDescent="0.25">
      <c r="A5" t="s">
        <v>58</v>
      </c>
      <c r="R5" s="120" t="s">
        <v>20</v>
      </c>
      <c r="S5" s="121"/>
      <c r="T5" s="121"/>
      <c r="U5" s="122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90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44" t="s">
        <v>63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81</v>
      </c>
      <c r="C7" s="6"/>
      <c r="D7" s="7">
        <v>45855</v>
      </c>
      <c r="E7" s="8" t="s">
        <v>19</v>
      </c>
      <c r="F7" s="9">
        <v>1940</v>
      </c>
      <c r="G7" s="9">
        <v>1108.3800000000001</v>
      </c>
      <c r="H7" s="9">
        <f>Table242830891013[[#This Row],[Purchase QTY]]*Table242830891013[[#This Row],[PPPU]]</f>
        <v>2150257.2000000002</v>
      </c>
      <c r="I7" s="9"/>
      <c r="J7" s="9"/>
      <c r="K7" s="9"/>
      <c r="L7" s="9"/>
      <c r="M7" s="9">
        <f>Table242830891013[[#This Row],[Total Purchase Amount]]</f>
        <v>2150257.2000000002</v>
      </c>
      <c r="N7" s="9">
        <f>IF(Table242830891013[[#This Row],[Txn Type]]="opening",Table242830891013[[#This Row],[Purchase QTY]],"Error")</f>
        <v>1940</v>
      </c>
      <c r="O7" s="42">
        <f>IFERROR(Table242830891013[[#This Row],[TC AP NFRS]]/Table242830891013[[#This Row],[Unit Sum]],0)</f>
        <v>1108.3800000000001</v>
      </c>
      <c r="P7" s="10">
        <f>Table242830891013[[#This Row],[Sales Amt]]-Table242830891013[[#This Row],[Principal Cost As per  NFRS (In case of Sales)]]</f>
        <v>0</v>
      </c>
      <c r="R7" s="20"/>
      <c r="S7" s="20"/>
      <c r="T7" s="20"/>
      <c r="U7" s="20">
        <f>AB7</f>
        <v>2060435.2</v>
      </c>
      <c r="V7" s="20"/>
      <c r="W7" s="20"/>
      <c r="X7" s="20"/>
      <c r="Y7" s="46"/>
      <c r="Z7" s="46"/>
      <c r="AA7" s="46"/>
      <c r="AB7" s="46">
        <f>Table242830891013[[#This Row],[Purchase QTY]]*AC7</f>
        <v>2060435.2</v>
      </c>
      <c r="AC7" s="46">
        <v>1062.08</v>
      </c>
      <c r="AD7" s="56"/>
    </row>
    <row r="8" spans="1:31" ht="30" x14ac:dyDescent="0.25">
      <c r="A8" s="5">
        <f>A7+1</f>
        <v>2</v>
      </c>
      <c r="B8" s="6" t="s">
        <v>81</v>
      </c>
      <c r="C8" s="6" t="s">
        <v>61</v>
      </c>
      <c r="D8" s="7">
        <v>45855</v>
      </c>
      <c r="E8" s="8" t="s">
        <v>21</v>
      </c>
      <c r="F8" s="9">
        <v>0</v>
      </c>
      <c r="G8" s="9">
        <f>IF(Table242830891013[[#This Row],[SPPU]]&gt;0,0,Table242830891013[[#This Row],[Total Purchase Amount]]/Table242830891013[[#This Row],[Purchase QTY]])</f>
        <v>0</v>
      </c>
      <c r="H8" s="9">
        <v>0</v>
      </c>
      <c r="I8" s="9">
        <v>180</v>
      </c>
      <c r="J8" s="9">
        <f>Table242830891013[[#This Row],[Sales Amt]]/Table242830891013[[#This Row],[Sales Qty]]</f>
        <v>1085.3333333333333</v>
      </c>
      <c r="K8" s="9">
        <v>195360</v>
      </c>
      <c r="L8" s="9">
        <f>Table242830891013[[#This Row],[Sales Qty]]*O7</f>
        <v>199508.40000000002</v>
      </c>
      <c r="M8" s="9">
        <f>M7+Table242830891013[[#This Row],[Total Purchase Amount]]-Table242830891013[[#This Row],[Principal Cost As per  NFRS (In case of Sales)]]</f>
        <v>1950748.8000000003</v>
      </c>
      <c r="N8" s="9">
        <f>N7+Table242830891013[[#This Row],[Purchase QTY]]-Table242830891013[[#This Row],[Sales Qty]]</f>
        <v>1760</v>
      </c>
      <c r="O8" s="42">
        <f>IFERROR(Table242830891013[[#This Row],[TC AP NFRS]]/Table242830891013[[#This Row],[Unit Sum]],0)</f>
        <v>1108.3800000000001</v>
      </c>
      <c r="P8" s="51">
        <f>Table242830891013[[#This Row],[Sales Amt]]-Table242830891013[[#This Row],[Principal Cost As per  NFRS (In case of Sales)]]</f>
        <v>-4148.4000000000233</v>
      </c>
      <c r="R8" s="20">
        <v>0</v>
      </c>
      <c r="S8" s="20"/>
      <c r="T8" s="20">
        <f>R8+S8</f>
        <v>0</v>
      </c>
      <c r="U8" s="20">
        <f>Table242830891013[[#This Row],[Total Purchase Amount]]+T8</f>
        <v>0</v>
      </c>
      <c r="V8" s="20">
        <f>654.47+29.32</f>
        <v>683.79000000000008</v>
      </c>
      <c r="W8" s="20">
        <v>25</v>
      </c>
      <c r="X8" s="20">
        <f>V8+W8</f>
        <v>708.79000000000008</v>
      </c>
      <c r="Y8" s="20">
        <f>347.66</f>
        <v>347.66</v>
      </c>
      <c r="Z8" s="20">
        <f>Table242830891013[[#This Row],[Sales Amt]]-X8-Y8</f>
        <v>194303.55</v>
      </c>
      <c r="AA8" s="20">
        <f>Table242830891013[[#This Row],[Sales Qty]]*AC7</f>
        <v>191174.39999999999</v>
      </c>
      <c r="AB8" s="20">
        <f>AB7+U8-AA8</f>
        <v>1869260.8</v>
      </c>
      <c r="AC8" s="20">
        <f>AB8/Table242830891013[[#This Row],[Unit Sum]]</f>
        <v>1062.08</v>
      </c>
      <c r="AD8" s="58">
        <f>Z8-AA8+Y8</f>
        <v>3476.809999999994</v>
      </c>
    </row>
    <row r="9" spans="1:31" ht="30" x14ac:dyDescent="0.25">
      <c r="A9" s="5">
        <f t="shared" ref="A9:A11" si="0">A8+1</f>
        <v>3</v>
      </c>
      <c r="B9" s="6" t="s">
        <v>81</v>
      </c>
      <c r="C9" s="6" t="s">
        <v>68</v>
      </c>
      <c r="D9" s="7">
        <v>45493</v>
      </c>
      <c r="E9" s="8" t="s">
        <v>21</v>
      </c>
      <c r="F9" s="9">
        <v>0</v>
      </c>
      <c r="G9" s="9">
        <f>IF(Table242830891013[[#This Row],[SPPU]]&gt;=0,0,Table242830891013[[#This Row],[Total Purchase Amount]]/Table242830891013[[#This Row],[Purchase QTY]])</f>
        <v>0</v>
      </c>
      <c r="H9" s="9">
        <v>0</v>
      </c>
      <c r="I9" s="9">
        <v>10</v>
      </c>
      <c r="J9" s="9">
        <f>IFERROR(Table242830891013[[#This Row],[Sales Amt]]/Table242830891013[[#This Row],[Sales Qty]],0)</f>
        <v>1076</v>
      </c>
      <c r="K9" s="9">
        <v>10760</v>
      </c>
      <c r="L9" s="9">
        <f>Table242830891013[[#This Row],[Sales Qty]]*O8</f>
        <v>11083.800000000001</v>
      </c>
      <c r="M9" s="9">
        <f>M8+Table242830891013[[#This Row],[Total Purchase Amount]]-Table242830891013[[#This Row],[Principal Cost As per  NFRS (In case of Sales)]]</f>
        <v>1939665.0000000002</v>
      </c>
      <c r="N9" s="9">
        <f>N8+Table242830891013[[#This Row],[Purchase QTY]]-Table242830891013[[#This Row],[Sales Qty]]</f>
        <v>1750</v>
      </c>
      <c r="O9" s="42">
        <f>IFERROR(Table242830891013[[#This Row],[TC AP NFRS]]/Table242830891013[[#This Row],[Unit Sum]],0)</f>
        <v>1108.3800000000001</v>
      </c>
      <c r="P9" s="51">
        <f>Table242830891013[[#This Row],[Sales Amt]]-Table242830891013[[#This Row],[Principal Cost As per  NFRS (In case of Sales)]]</f>
        <v>-323.80000000000109</v>
      </c>
      <c r="R9" s="20"/>
      <c r="S9" s="20"/>
      <c r="T9" s="20"/>
      <c r="U9" s="20">
        <f>Table242830891013[[#This Row],[Total Purchase Amount]]+T9</f>
        <v>0</v>
      </c>
      <c r="V9" s="20">
        <f>38.74+1.61</f>
        <v>40.35</v>
      </c>
      <c r="W9" s="20">
        <v>25</v>
      </c>
      <c r="X9" s="20">
        <f>V9+W9</f>
        <v>65.349999999999994</v>
      </c>
      <c r="Y9" s="20">
        <v>7.38</v>
      </c>
      <c r="Z9" s="20">
        <f>Table242830891013[[#This Row],[Sales Amt]]-X9-Y9</f>
        <v>10687.27</v>
      </c>
      <c r="AA9" s="20">
        <f>Table242830891013[[#This Row],[Sales Qty]]*AC8</f>
        <v>10620.8</v>
      </c>
      <c r="AB9" s="20">
        <f>AB8+U9-AA9</f>
        <v>1858640</v>
      </c>
      <c r="AC9" s="20">
        <f>AB9/Table242830891013[[#This Row],[Unit Sum]]</f>
        <v>1062.08</v>
      </c>
      <c r="AD9" s="58">
        <f>Z9-AA9+Y9</f>
        <v>73.85000000000116</v>
      </c>
    </row>
    <row r="10" spans="1:31" ht="30" x14ac:dyDescent="0.25">
      <c r="A10" s="5">
        <f t="shared" si="0"/>
        <v>4</v>
      </c>
      <c r="B10" s="6" t="s">
        <v>81</v>
      </c>
      <c r="C10" s="6" t="s">
        <v>98</v>
      </c>
      <c r="D10" s="7">
        <v>45494</v>
      </c>
      <c r="E10" s="8" t="s">
        <v>21</v>
      </c>
      <c r="F10" s="9"/>
      <c r="G10" s="9">
        <f>IF(Table242830891013[[#This Row],[SPPU]]&gt;=0,0,Table242830891013[[#This Row],[Total Purchase Amount]]/Table242830891013[[#This Row],[Purchase QTY]])</f>
        <v>0</v>
      </c>
      <c r="H10" s="9"/>
      <c r="I10" s="9">
        <v>500</v>
      </c>
      <c r="J10" s="9">
        <f>IFERROR(Table242830891013[[#This Row],[Sales Amt]]/Table242830891013[[#This Row],[Sales Qty]],0)</f>
        <v>1080</v>
      </c>
      <c r="K10" s="9">
        <v>540000</v>
      </c>
      <c r="L10" s="9">
        <f>Table242830891013[[#This Row],[Sales Qty]]*O9</f>
        <v>554190</v>
      </c>
      <c r="M10" s="9">
        <f>M9+Table242830891013[[#This Row],[Total Purchase Amount]]-Table242830891013[[#This Row],[Principal Cost As per  NFRS (In case of Sales)]]</f>
        <v>1385475.0000000002</v>
      </c>
      <c r="N10" s="9">
        <f>N9+Table242830891013[[#This Row],[Purchase QTY]]-Table242830891013[[#This Row],[Sales Qty]]</f>
        <v>1250</v>
      </c>
      <c r="O10" s="42">
        <f>IFERROR(Table242830891013[[#This Row],[TC AP NFRS]]/Table242830891013[[#This Row],[Unit Sum]],0)</f>
        <v>1108.3800000000001</v>
      </c>
      <c r="P10" s="51">
        <f>Table242830891013[[#This Row],[Sales Amt]]-Table242830891013[[#This Row],[Principal Cost As per  NFRS (In case of Sales)]]</f>
        <v>-14190</v>
      </c>
      <c r="R10" s="20"/>
      <c r="S10" s="20"/>
      <c r="T10" s="20"/>
      <c r="U10" s="20">
        <f>Table242830891013[[#This Row],[Total Purchase Amount]]+T10</f>
        <v>0</v>
      </c>
      <c r="V10" s="20">
        <f>1674+81</f>
        <v>1755</v>
      </c>
      <c r="W10" s="20">
        <v>25</v>
      </c>
      <c r="X10" s="20">
        <f t="shared" ref="X10:X11" si="1">V10+W10</f>
        <v>1780</v>
      </c>
      <c r="Y10" s="20">
        <v>717.95</v>
      </c>
      <c r="Z10" s="20">
        <f>Table242830891013[[#This Row],[Sales Amt]]-X10-Y10</f>
        <v>537502.05000000005</v>
      </c>
      <c r="AA10" s="20">
        <f>Table242830891013[[#This Row],[Sales Qty]]*AC9</f>
        <v>531040</v>
      </c>
      <c r="AB10" s="20">
        <f>AB9+U10-AA10</f>
        <v>1327600</v>
      </c>
      <c r="AC10" s="20">
        <f>AB10/Table242830891013[[#This Row],[Unit Sum]]</f>
        <v>1062.08</v>
      </c>
      <c r="AD10" s="58">
        <f>Z10-AA10+Y10</f>
        <v>7180.0000000000464</v>
      </c>
    </row>
    <row r="11" spans="1:31" ht="30" x14ac:dyDescent="0.25">
      <c r="A11" s="5">
        <f t="shared" si="0"/>
        <v>5</v>
      </c>
      <c r="B11" s="6" t="s">
        <v>81</v>
      </c>
      <c r="C11" s="6" t="s">
        <v>109</v>
      </c>
      <c r="D11" s="7">
        <v>45495</v>
      </c>
      <c r="E11" s="8" t="s">
        <v>21</v>
      </c>
      <c r="F11" s="9"/>
      <c r="G11" s="9">
        <f>IF(Table242830891013[[#This Row],[SPPU]]&gt;=0,0,Table242830891013[[#This Row],[Total Purchase Amount]]/Table242830891013[[#This Row],[Purchase QTY]])</f>
        <v>0</v>
      </c>
      <c r="H11" s="9"/>
      <c r="I11" s="9">
        <v>1250</v>
      </c>
      <c r="J11" s="9">
        <f>Table242830891013[[#This Row],[Sales Amt]]/Table242830891013[[#This Row],[Sales Qty]]</f>
        <v>1085</v>
      </c>
      <c r="K11" s="9">
        <v>1356250</v>
      </c>
      <c r="L11" s="9">
        <f>Table242830891013[[#This Row],[Sales Qty]]*O10</f>
        <v>1385475.0000000002</v>
      </c>
      <c r="M11" s="9">
        <f>M10+Table242830891013[[#This Row],[Total Purchase Amount]]-Table242830891013[[#This Row],[Principal Cost As per  NFRS (In case of Sales)]]</f>
        <v>0</v>
      </c>
      <c r="N11" s="9">
        <f>N10+Table242830891013[[#This Row],[Purchase QTY]]-Table242830891013[[#This Row],[Sales Qty]]</f>
        <v>0</v>
      </c>
      <c r="O11" s="42">
        <f>IFERROR(Table242830891013[[#This Row],[TC AP NFRS]]/Table242830891013[[#This Row],[Unit Sum]],0)</f>
        <v>0</v>
      </c>
      <c r="P11" s="51">
        <f>Table242830891013[[#This Row],[Sales Amt]]-Table242830891013[[#This Row],[Principal Cost As per  NFRS (In case of Sales)]]</f>
        <v>-29225.000000000233</v>
      </c>
      <c r="R11" s="20"/>
      <c r="S11" s="20"/>
      <c r="T11" s="20"/>
      <c r="U11" s="20">
        <f>Table242830891013[[#This Row],[Total Purchase Amount]]+T11</f>
        <v>0</v>
      </c>
      <c r="V11" s="20">
        <f>4204.38+203.44</f>
        <v>4407.82</v>
      </c>
      <c r="W11" s="20">
        <v>25</v>
      </c>
      <c r="X11" s="20">
        <f t="shared" si="1"/>
        <v>4432.82</v>
      </c>
      <c r="Y11" s="20">
        <v>2421.59</v>
      </c>
      <c r="Z11" s="20">
        <f>Table242830891013[[#This Row],[Sales Amt]]-X11-Y11</f>
        <v>1349395.5899999999</v>
      </c>
      <c r="AA11" s="20">
        <f>Table242830891013[[#This Row],[Sales Qty]]*AC10</f>
        <v>1327600</v>
      </c>
      <c r="AB11" s="20">
        <f>AB10+U11-AA11</f>
        <v>0</v>
      </c>
      <c r="AC11" s="20">
        <f>IFERROR(AB11/Table242830891013[[#This Row],[Unit Sum]],0)</f>
        <v>0</v>
      </c>
      <c r="AD11" s="58">
        <f>Z11-AA11+Y11</f>
        <v>24217.179999999851</v>
      </c>
    </row>
    <row r="12" spans="1:31" ht="15.75" x14ac:dyDescent="0.25">
      <c r="A12" s="11" t="s">
        <v>22</v>
      </c>
      <c r="B12" s="12"/>
      <c r="C12" s="12"/>
      <c r="D12" s="13"/>
      <c r="E12" s="14"/>
      <c r="F12" s="15">
        <f ca="1">SUM(INDIRECT("f4:f"&amp;ROW()-1))</f>
        <v>1940</v>
      </c>
      <c r="G12" s="15"/>
      <c r="H12" s="15">
        <f ca="1">SUM(INDIRECT("h4:h"&amp;ROW()-1))</f>
        <v>2150257.2000000002</v>
      </c>
      <c r="I12" s="15">
        <f ca="1">SUM(INDIRECT("i4:i"&amp;ROW()-1))</f>
        <v>1940</v>
      </c>
      <c r="J12" s="15">
        <f ca="1">Table242830891013[[#This Row],[Sales Amt]]/Table242830891013[[#This Row],[Sales Qty]]</f>
        <v>1083.6958762886597</v>
      </c>
      <c r="K12" s="15">
        <f>SUBTOTAL(109,K7:K11)</f>
        <v>2102370</v>
      </c>
      <c r="L12" s="15"/>
      <c r="M12" s="15"/>
      <c r="N12" s="15">
        <f ca="1">Table242830891013[[#This Row],[Purchase QTY]]-Table242830891013[[#This Row],[Sales Qty]]</f>
        <v>0</v>
      </c>
      <c r="O12" s="43"/>
      <c r="P12" s="52">
        <f ca="1">SUM(INDIRECT("p4:p"&amp;ROW()-1))</f>
        <v>-47887.200000000259</v>
      </c>
      <c r="R12" s="25">
        <f>SUM(R7:R9)</f>
        <v>0</v>
      </c>
      <c r="S12" s="25"/>
      <c r="T12" s="25"/>
      <c r="U12" s="57">
        <f ca="1">SUM(INDIRECT("u4:u"&amp;ROW()-1))</f>
        <v>2060435.2</v>
      </c>
      <c r="V12" s="57">
        <f ca="1">SUM(INDIRECT("v4:v"&amp;ROW()-1))</f>
        <v>6886.96</v>
      </c>
      <c r="W12" s="57">
        <f ca="1">SUM(INDIRECT("w4:w"&amp;ROW()-1))</f>
        <v>100</v>
      </c>
      <c r="X12" s="57">
        <f ca="1">SUM(INDIRECT("x4:x"&amp;ROW()-1))</f>
        <v>6986.96</v>
      </c>
      <c r="Y12" s="57">
        <f ca="1">SUM(INDIRECT("y4:y"&amp;ROW()-1))</f>
        <v>3494.58</v>
      </c>
      <c r="Z12" s="25">
        <f>SUM(Z8:Z11)</f>
        <v>2091888.46</v>
      </c>
      <c r="AA12" s="57">
        <f ca="1">SUM(INDIRECT("aa4:aa"&amp;ROW()-1))</f>
        <v>2060435.2</v>
      </c>
      <c r="AB12" s="25">
        <f ca="1">U12-AA12</f>
        <v>0</v>
      </c>
      <c r="AC12" s="54">
        <f ca="1">IFERROR(AB12/Table242830891013[[#This Row],[Unit Sum]],0)</f>
        <v>0</v>
      </c>
      <c r="AD12" s="57">
        <f ca="1">SUM(INDIRECT("ad4:ad"&amp;ROW()-1))</f>
        <v>34947.839999999895</v>
      </c>
    </row>
    <row r="14" spans="1:31" x14ac:dyDescent="0.25">
      <c r="A14" t="s">
        <v>882</v>
      </c>
      <c r="R14" s="120" t="s">
        <v>20</v>
      </c>
      <c r="S14" s="121"/>
      <c r="T14" s="121"/>
      <c r="U14" s="50"/>
      <c r="V14" s="120" t="s">
        <v>67</v>
      </c>
      <c r="W14" s="121"/>
      <c r="X14" s="121"/>
      <c r="Y14" s="123" t="s">
        <v>13</v>
      </c>
      <c r="Z14" s="124" t="s">
        <v>10</v>
      </c>
      <c r="AA14" s="125" t="s">
        <v>66</v>
      </c>
      <c r="AB14" s="123" t="s">
        <v>15</v>
      </c>
      <c r="AC14" s="123" t="s">
        <v>18</v>
      </c>
      <c r="AD14" s="123" t="s">
        <v>12</v>
      </c>
    </row>
    <row r="15" spans="1:31" ht="90" x14ac:dyDescent="0.25">
      <c r="A15" s="1" t="s">
        <v>57</v>
      </c>
      <c r="B15" s="2" t="s">
        <v>0</v>
      </c>
      <c r="C15" s="2" t="s">
        <v>53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51</v>
      </c>
      <c r="I15" s="2" t="s">
        <v>6</v>
      </c>
      <c r="J15" s="16" t="s">
        <v>7</v>
      </c>
      <c r="K15" s="16" t="s">
        <v>8</v>
      </c>
      <c r="L15" s="2" t="s">
        <v>50</v>
      </c>
      <c r="M15" s="2" t="s">
        <v>14</v>
      </c>
      <c r="N15" s="2" t="s">
        <v>16</v>
      </c>
      <c r="O15" s="4" t="s">
        <v>17</v>
      </c>
      <c r="P15" s="3" t="s">
        <v>11</v>
      </c>
      <c r="R15" s="2" t="s">
        <v>65</v>
      </c>
      <c r="S15" s="2" t="s">
        <v>62</v>
      </c>
      <c r="T15" s="2" t="s">
        <v>5</v>
      </c>
      <c r="U15" s="2" t="s">
        <v>164</v>
      </c>
      <c r="V15" s="16" t="s">
        <v>64</v>
      </c>
      <c r="W15" s="16" t="s">
        <v>62</v>
      </c>
      <c r="X15" s="45" t="s">
        <v>9</v>
      </c>
      <c r="Y15" s="123"/>
      <c r="Z15" s="124"/>
      <c r="AA15" s="125"/>
      <c r="AB15" s="123"/>
      <c r="AC15" s="123"/>
      <c r="AD15" s="123"/>
    </row>
    <row r="16" spans="1:31" x14ac:dyDescent="0.25">
      <c r="A16" s="96">
        <v>1</v>
      </c>
      <c r="B16" s="97" t="s">
        <v>81</v>
      </c>
      <c r="C16" s="97"/>
      <c r="D16" s="98">
        <v>45886</v>
      </c>
      <c r="E16" s="99" t="s">
        <v>19</v>
      </c>
      <c r="F16" s="59">
        <v>1940</v>
      </c>
      <c r="G16" s="59"/>
      <c r="H16" s="59">
        <v>2150257.2000000002</v>
      </c>
      <c r="I16" s="59">
        <v>1940</v>
      </c>
      <c r="J16" s="59">
        <v>1083.6958762886597</v>
      </c>
      <c r="K16" s="59">
        <v>2102370</v>
      </c>
      <c r="L16" s="59"/>
      <c r="M16" s="59"/>
      <c r="N16" s="59">
        <v>0</v>
      </c>
      <c r="O16" s="59"/>
      <c r="P16" s="59">
        <v>-47887.200000000259</v>
      </c>
      <c r="Q16" s="59"/>
      <c r="R16" s="59">
        <v>0</v>
      </c>
      <c r="S16" s="59"/>
      <c r="T16" s="59"/>
      <c r="U16" s="59">
        <v>2060435.2</v>
      </c>
      <c r="V16" s="59">
        <v>6886.96</v>
      </c>
      <c r="W16" s="59">
        <v>100</v>
      </c>
      <c r="X16" s="59">
        <v>6986.96</v>
      </c>
      <c r="Y16" s="59">
        <v>3494.58</v>
      </c>
      <c r="Z16" s="59">
        <v>2091888.46</v>
      </c>
      <c r="AA16" s="59">
        <v>2060435.2</v>
      </c>
      <c r="AB16" s="59">
        <v>0</v>
      </c>
      <c r="AC16" s="59">
        <v>0</v>
      </c>
      <c r="AD16" s="59">
        <v>34947.839999999895</v>
      </c>
    </row>
  </sheetData>
  <mergeCells count="16">
    <mergeCell ref="AB14:AB15"/>
    <mergeCell ref="AC14:AC15"/>
    <mergeCell ref="AD14:AD15"/>
    <mergeCell ref="R14:T14"/>
    <mergeCell ref="V14:X14"/>
    <mergeCell ref="Y14:Y15"/>
    <mergeCell ref="Z14:Z15"/>
    <mergeCell ref="AA14:AA15"/>
    <mergeCell ref="AD5:AD6"/>
    <mergeCell ref="AB5:AB6"/>
    <mergeCell ref="AC5:AC6"/>
    <mergeCell ref="R5:U5"/>
    <mergeCell ref="V5:X5"/>
    <mergeCell ref="Y5:Y6"/>
    <mergeCell ref="Z5:Z6"/>
    <mergeCell ref="AA5:AA6"/>
  </mergeCells>
  <conditionalFormatting sqref="P7:P11">
    <cfRule type="cellIs" dxfId="1" priority="2" operator="lessThan">
      <formula>0</formula>
    </cfRule>
  </conditionalFormatting>
  <conditionalFormatting sqref="AD7:AD11">
    <cfRule type="cellIs" dxfId="0" priority="1" operator="lessThan">
      <formula>0</formula>
    </cfRule>
  </conditionalFormatting>
  <pageMargins left="0.19685039370078741" right="0.19685039370078741" top="0.74803149606299213" bottom="0.74803149606299213" header="0.31496062992125984" footer="0.31496062992125984"/>
  <pageSetup paperSize="9" scale="53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2D3BEA-D8B9-45CF-ACE6-4C33A27E9505}">
          <x14:formula1>
            <xm:f>VALIDATION!$A$2:$A$7</xm:f>
          </x14:formula1>
          <xm:sqref>E7:E11 E16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30A3-6CFF-4519-B60A-4AEBEA54FA99}">
  <dimension ref="A1:AE21"/>
  <sheetViews>
    <sheetView zoomScaleNormal="100" workbookViewId="0">
      <selection activeCell="AD19" sqref="A19:AD20"/>
    </sheetView>
  </sheetViews>
  <sheetFormatPr defaultRowHeight="15" x14ac:dyDescent="0.25"/>
  <cols>
    <col min="1" max="1" width="13.7109375" customWidth="1"/>
    <col min="2" max="2" width="10" customWidth="1"/>
    <col min="3" max="3" width="15.7109375" bestFit="1" customWidth="1"/>
    <col min="4" max="4" width="10.28515625" bestFit="1" customWidth="1"/>
    <col min="5" max="5" width="8.28515625" bestFit="1" customWidth="1"/>
    <col min="6" max="6" width="13.5703125" bestFit="1" customWidth="1"/>
    <col min="7" max="7" width="8.7109375" bestFit="1" customWidth="1"/>
    <col min="8" max="8" width="16.85546875" bestFit="1" customWidth="1"/>
    <col min="9" max="9" width="12.140625" bestFit="1" customWidth="1"/>
    <col min="10" max="10" width="10.140625" bestFit="1" customWidth="1"/>
    <col min="11" max="13" width="16.85546875" bestFit="1" customWidth="1"/>
    <col min="14" max="14" width="12.140625" bestFit="1" customWidth="1"/>
    <col min="15" max="15" width="10.140625" bestFit="1" customWidth="1"/>
    <col min="16" max="16" width="13.5703125" bestFit="1" customWidth="1"/>
    <col min="17" max="17" width="2.42578125" customWidth="1"/>
    <col min="19" max="19" width="7.140625" bestFit="1" customWidth="1"/>
    <col min="21" max="21" width="17.7109375" bestFit="1" customWidth="1"/>
    <col min="22" max="22" width="12.85546875" bestFit="1" customWidth="1"/>
    <col min="23" max="23" width="9.5703125" bestFit="1" customWidth="1"/>
    <col min="24" max="25" width="12.85546875" bestFit="1" customWidth="1"/>
    <col min="26" max="26" width="17.7109375" bestFit="1" customWidth="1"/>
    <col min="27" max="27" width="17.85546875" bestFit="1" customWidth="1"/>
    <col min="28" max="28" width="17.7109375" bestFit="1" customWidth="1"/>
    <col min="29" max="29" width="10.28515625" bestFit="1" customWidth="1"/>
    <col min="30" max="30" width="14.285156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82</v>
      </c>
      <c r="C7" s="6"/>
      <c r="D7" s="7">
        <v>45855</v>
      </c>
      <c r="E7" s="8" t="s">
        <v>19</v>
      </c>
      <c r="F7" s="9">
        <v>10924</v>
      </c>
      <c r="G7" s="9">
        <v>439.98</v>
      </c>
      <c r="H7" s="9">
        <f>Table24283089101314[[#This Row],[Purchase QTY]]*Table24283089101314[[#This Row],[PPPU]]</f>
        <v>4806341.5200000005</v>
      </c>
      <c r="I7" s="9"/>
      <c r="J7" s="9"/>
      <c r="K7" s="9"/>
      <c r="L7" s="9"/>
      <c r="M7" s="9">
        <f>Table24283089101314[[#This Row],[Total Purchase Amount]]</f>
        <v>4806341.5200000005</v>
      </c>
      <c r="N7" s="9">
        <f>IF(Table24283089101314[[#This Row],[Txn Type]]="opening",Table24283089101314[[#This Row],[Purchase QTY]],"Error")</f>
        <v>10924</v>
      </c>
      <c r="O7" s="42">
        <f>IFERROR(Table24283089101314[[#This Row],[TC AP NFRS]]/Table24283089101314[[#This Row],[Unit Sum]],0)</f>
        <v>439.98</v>
      </c>
      <c r="P7" s="10">
        <f>Table24283089101314[[#This Row],[Sales Amt]]-Table24283089101314[[#This Row],[Principal Cost As per  NFRS (In case of Sales)]]</f>
        <v>0</v>
      </c>
      <c r="R7" s="17"/>
      <c r="S7" s="17"/>
      <c r="T7" s="20">
        <f>R7+S7</f>
        <v>0</v>
      </c>
      <c r="U7" s="20">
        <f>AB7</f>
        <v>4812786.68</v>
      </c>
      <c r="V7" s="20"/>
      <c r="W7" s="20"/>
      <c r="X7" s="20"/>
      <c r="Y7" s="46"/>
      <c r="Z7" s="46"/>
      <c r="AA7" s="46"/>
      <c r="AB7" s="46">
        <f>F7*AC7</f>
        <v>4812786.68</v>
      </c>
      <c r="AC7" s="46">
        <v>440.57</v>
      </c>
      <c r="AD7" s="56"/>
    </row>
    <row r="8" spans="1:31" ht="30" x14ac:dyDescent="0.25">
      <c r="A8" s="5">
        <f>A7+1</f>
        <v>2</v>
      </c>
      <c r="B8" s="6" t="s">
        <v>82</v>
      </c>
      <c r="C8" s="6" t="s">
        <v>61</v>
      </c>
      <c r="D8" s="7">
        <v>45855</v>
      </c>
      <c r="E8" s="8" t="s">
        <v>21</v>
      </c>
      <c r="F8" s="9">
        <v>0</v>
      </c>
      <c r="G8" s="9">
        <f>IF(Table24283089101314[[#This Row],[SPPU]]&gt;0,0,Table24283089101314[[#This Row],[Total Purchase Amount]]/Table24283089101314[[#This Row],[Purchase QTY]])</f>
        <v>0</v>
      </c>
      <c r="H8" s="9">
        <v>0</v>
      </c>
      <c r="I8" s="9">
        <v>200</v>
      </c>
      <c r="J8" s="9">
        <f>Table24283089101314[[#This Row],[Sales Amt]]/Table24283089101314[[#This Row],[Sales Qty]]</f>
        <v>451</v>
      </c>
      <c r="K8" s="9">
        <v>90200</v>
      </c>
      <c r="L8" s="9">
        <f>Table24283089101314[[#This Row],[Sales Qty]]*O7</f>
        <v>87996</v>
      </c>
      <c r="M8" s="9">
        <f>M7+Table24283089101314[[#This Row],[Total Purchase Amount]]-Table24283089101314[[#This Row],[Principal Cost As per  NFRS (In case of Sales)]]</f>
        <v>4718345.5200000005</v>
      </c>
      <c r="N8" s="9">
        <f>N7+Table24283089101314[[#This Row],[Purchase QTY]]-Table24283089101314[[#This Row],[Sales Qty]]</f>
        <v>10724</v>
      </c>
      <c r="O8" s="42">
        <f>IFERROR(Table24283089101314[[#This Row],[TC AP NFRS]]/Table24283089101314[[#This Row],[Unit Sum]],0)</f>
        <v>439.98</v>
      </c>
      <c r="P8" s="10">
        <f>Table24283089101314[[#This Row],[Sales Amt]]-Table24283089101314[[#This Row],[Principal Cost As per  NFRS (In case of Sales)]]</f>
        <v>2204</v>
      </c>
      <c r="R8" s="17">
        <v>0</v>
      </c>
      <c r="S8" s="17"/>
      <c r="T8" s="20">
        <f>R8+S8</f>
        <v>0</v>
      </c>
      <c r="U8" s="20">
        <f>H8+T8</f>
        <v>0</v>
      </c>
      <c r="V8" s="20">
        <f>297.66+13.53</f>
        <v>311.19</v>
      </c>
      <c r="W8" s="20">
        <v>25</v>
      </c>
      <c r="X8" s="55">
        <f>V8+W8</f>
        <v>336.19</v>
      </c>
      <c r="Y8" s="20">
        <v>175.08</v>
      </c>
      <c r="Z8" s="20">
        <f>K8-X8-Y8</f>
        <v>89688.73</v>
      </c>
      <c r="AA8" s="20">
        <f>I8*AC7</f>
        <v>88114</v>
      </c>
      <c r="AB8" s="20">
        <f>AB7+U8-AA8</f>
        <v>4724672.68</v>
      </c>
      <c r="AC8" s="20">
        <f>IFERROR(AB8/N8,0)</f>
        <v>440.57</v>
      </c>
      <c r="AD8" s="56">
        <f>Z8-AA8+Y8</f>
        <v>1749.8099999999959</v>
      </c>
    </row>
    <row r="9" spans="1:31" ht="30" x14ac:dyDescent="0.25">
      <c r="A9" s="5">
        <f t="shared" ref="A9:A16" si="0">A8+1</f>
        <v>3</v>
      </c>
      <c r="B9" s="6" t="s">
        <v>82</v>
      </c>
      <c r="C9" s="6" t="s">
        <v>108</v>
      </c>
      <c r="D9" s="7">
        <v>45860</v>
      </c>
      <c r="E9" s="8" t="s">
        <v>21</v>
      </c>
      <c r="F9" s="9">
        <v>0</v>
      </c>
      <c r="G9" s="9">
        <f>IF(Table24283089101314[[#This Row],[SPPU]]&gt;=0,0,Table24283089101314[[#This Row],[Total Purchase Amount]]/Table24283089101314[[#This Row],[Purchase QTY]])</f>
        <v>0</v>
      </c>
      <c r="H9" s="9">
        <v>0</v>
      </c>
      <c r="I9" s="9">
        <v>2244</v>
      </c>
      <c r="J9" s="9">
        <f>IFERROR(Table24283089101314[[#This Row],[Sales Amt]]/Table24283089101314[[#This Row],[Sales Qty]],0)</f>
        <v>444.21746880570407</v>
      </c>
      <c r="K9" s="9">
        <v>996824</v>
      </c>
      <c r="L9" s="9">
        <f>Table24283089101314[[#This Row],[Sales Qty]]*O8</f>
        <v>987315.12</v>
      </c>
      <c r="M9" s="9">
        <f>M8+Table24283089101314[[#This Row],[Total Purchase Amount]]-Table24283089101314[[#This Row],[Principal Cost As per  NFRS (In case of Sales)]]</f>
        <v>3731030.4000000004</v>
      </c>
      <c r="N9" s="9">
        <f>N8+Table24283089101314[[#This Row],[Purchase QTY]]-Table24283089101314[[#This Row],[Sales Qty]]</f>
        <v>8480</v>
      </c>
      <c r="O9" s="42">
        <f>IFERROR(Table24283089101314[[#This Row],[TC AP NFRS]]/Table24283089101314[[#This Row],[Unit Sum]],0)</f>
        <v>439.98</v>
      </c>
      <c r="P9" s="10">
        <f>Table24283089101314[[#This Row],[Sales Amt]]-Table24283089101314[[#This Row],[Principal Cost As per  NFRS (In case of Sales)]]</f>
        <v>9508.8800000000047</v>
      </c>
      <c r="R9" s="17">
        <v>0</v>
      </c>
      <c r="S9" s="17"/>
      <c r="T9" s="20">
        <f t="shared" ref="T9:T16" si="1">R9+S9</f>
        <v>0</v>
      </c>
      <c r="U9" s="20">
        <f t="shared" ref="U9:U16" si="2">H9+T9</f>
        <v>0</v>
      </c>
      <c r="V9" s="20">
        <f>3111.92+149.52</f>
        <v>3261.44</v>
      </c>
      <c r="W9" s="20">
        <v>25</v>
      </c>
      <c r="X9" s="55">
        <f t="shared" ref="X9:X16" si="3">V9+W9</f>
        <v>3286.44</v>
      </c>
      <c r="Y9" s="20">
        <v>490.97</v>
      </c>
      <c r="Z9" s="20">
        <f t="shared" ref="Z9:Z16" si="4">K9-X9-Y9</f>
        <v>993046.59000000008</v>
      </c>
      <c r="AA9" s="20">
        <f t="shared" ref="AA9:AA16" si="5">I9*AC8</f>
        <v>988639.08</v>
      </c>
      <c r="AB9" s="20">
        <f t="shared" ref="AB9:AB16" si="6">AB8+U9-AA9</f>
        <v>3736033.5999999996</v>
      </c>
      <c r="AC9" s="20">
        <f t="shared" ref="AC9:AC16" si="7">IFERROR(AB9/N9,0)</f>
        <v>440.56999999999994</v>
      </c>
      <c r="AD9" s="56">
        <f t="shared" ref="AD9:AD16" si="8">Z9-AA9+Y9</f>
        <v>4898.480000000126</v>
      </c>
    </row>
    <row r="10" spans="1:31" ht="30" x14ac:dyDescent="0.25">
      <c r="A10" s="5">
        <f t="shared" si="0"/>
        <v>4</v>
      </c>
      <c r="B10" s="6" t="s">
        <v>82</v>
      </c>
      <c r="C10" s="6" t="s">
        <v>117</v>
      </c>
      <c r="D10" s="7">
        <v>45861</v>
      </c>
      <c r="E10" s="8" t="s">
        <v>21</v>
      </c>
      <c r="F10" s="9"/>
      <c r="G10" s="9">
        <f>IF(Table24283089101314[[#This Row],[SPPU]]&gt;=0,0,Table24283089101314[[#This Row],[Total Purchase Amount]]/Table24283089101314[[#This Row],[Purchase QTY]])</f>
        <v>0</v>
      </c>
      <c r="H10" s="9"/>
      <c r="I10" s="9">
        <v>1000</v>
      </c>
      <c r="J10" s="9">
        <f>IFERROR(Table24283089101314[[#This Row],[Sales Amt]]/Table24283089101314[[#This Row],[Sales Qty]],0)</f>
        <v>450</v>
      </c>
      <c r="K10" s="9">
        <v>450000</v>
      </c>
      <c r="L10" s="9">
        <f>Table24283089101314[[#This Row],[Sales Qty]]*O9</f>
        <v>439980</v>
      </c>
      <c r="M10" s="9">
        <f>M9+Table24283089101314[[#This Row],[Total Purchase Amount]]-Table24283089101314[[#This Row],[Principal Cost As per  NFRS (In case of Sales)]]</f>
        <v>3291050.4000000004</v>
      </c>
      <c r="N10" s="9">
        <f>N9+Table24283089101314[[#This Row],[Purchase QTY]]-Table24283089101314[[#This Row],[Sales Qty]]</f>
        <v>7480</v>
      </c>
      <c r="O10" s="42">
        <f>IFERROR(Table24283089101314[[#This Row],[TC AP NFRS]]/Table24283089101314[[#This Row],[Unit Sum]],0)</f>
        <v>439.98000000000008</v>
      </c>
      <c r="P10" s="10">
        <f>Table24283089101314[[#This Row],[Sales Amt]]-Table24283089101314[[#This Row],[Principal Cost As per  NFRS (In case of Sales)]]</f>
        <v>10020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f>1485+67.5</f>
        <v>1552.5</v>
      </c>
      <c r="W10" s="20">
        <v>25</v>
      </c>
      <c r="X10" s="55">
        <f t="shared" si="3"/>
        <v>1577.5</v>
      </c>
      <c r="Y10" s="20">
        <v>785.75</v>
      </c>
      <c r="Z10" s="20">
        <f t="shared" si="4"/>
        <v>447636.75</v>
      </c>
      <c r="AA10" s="20">
        <f t="shared" si="5"/>
        <v>440569.99999999994</v>
      </c>
      <c r="AB10" s="20">
        <f t="shared" si="6"/>
        <v>3295463.5999999996</v>
      </c>
      <c r="AC10" s="20">
        <f t="shared" si="7"/>
        <v>440.56999999999994</v>
      </c>
      <c r="AD10" s="56">
        <f t="shared" si="8"/>
        <v>7852.5000000000582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IF(Table24283089101314[[#This Row],[SPPU]]&gt;=0,0,Table24283089101314[[#This Row],[Total Purchase Amount]]/Table24283089101314[[#This Row],[Purchase QTY]])</f>
        <v>#DIV/0!</v>
      </c>
      <c r="H11" s="9"/>
      <c r="I11" s="9">
        <v>0</v>
      </c>
      <c r="J11" s="9" t="e">
        <f>Table24283089101314[[#This Row],[Sales Amt]]/Table24283089101314[[#This Row],[Sales Qty]]</f>
        <v>#DIV/0!</v>
      </c>
      <c r="K11" s="9">
        <v>0</v>
      </c>
      <c r="L11" s="9">
        <f>Table24283089101314[[#This Row],[Sales Qty]]*O10</f>
        <v>0</v>
      </c>
      <c r="M11" s="9">
        <f>M10+Table24283089101314[[#This Row],[Total Purchase Amount]]-Table24283089101314[[#This Row],[Principal Cost As per  NFRS (In case of Sales)]]</f>
        <v>3291050.4000000004</v>
      </c>
      <c r="N11" s="9">
        <f>N10+Table24283089101314[[#This Row],[Purchase QTY]]-Table24283089101314[[#This Row],[Sales Qty]]</f>
        <v>7480</v>
      </c>
      <c r="O11" s="42">
        <f>IFERROR(Table24283089101314[[#This Row],[TC AP NFRS]]/Table24283089101314[[#This Row],[Unit Sum]],0)</f>
        <v>439.98000000000008</v>
      </c>
      <c r="P11" s="10">
        <f>Table24283089101314[[#This Row],[Sales Amt]]-Table24283089101314[[#This Row],[Principal Cost As per  NFRS (In case of Sales)]]</f>
        <v>0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v>0</v>
      </c>
      <c r="W11" s="20">
        <v>0</v>
      </c>
      <c r="X11" s="55">
        <f t="shared" si="3"/>
        <v>0</v>
      </c>
      <c r="Y11" s="20">
        <v>0</v>
      </c>
      <c r="Z11" s="20">
        <f t="shared" si="4"/>
        <v>0</v>
      </c>
      <c r="AA11" s="20">
        <f t="shared" si="5"/>
        <v>0</v>
      </c>
      <c r="AB11" s="20">
        <f t="shared" si="6"/>
        <v>3295463.5999999996</v>
      </c>
      <c r="AC11" s="20">
        <f t="shared" si="7"/>
        <v>440.56999999999994</v>
      </c>
      <c r="AD11" s="56">
        <f t="shared" si="8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Table24283089101314[[#This Row],[Total Purchase Amount]]/Table24283089101314[[#This Row],[Purchase QTY]]</f>
        <v>#DIV/0!</v>
      </c>
      <c r="H12" s="9">
        <v>0</v>
      </c>
      <c r="I12" s="9">
        <v>0</v>
      </c>
      <c r="J12" s="9">
        <f ca="1">IFERROR(Table24283089101314[[#This Row],[Sales Amt]]/Table24283089101314[[#This Row],[Sales Qty]],0)</f>
        <v>0</v>
      </c>
      <c r="K12" s="9">
        <f ca="1">Table24283089101314[[#This Row],[Sales Qty]]*Table24283089101314[[#This Row],[SPPU]]</f>
        <v>0</v>
      </c>
      <c r="L12" s="9">
        <f>Table24283089101314[[#This Row],[Sales Qty]]*O11</f>
        <v>0</v>
      </c>
      <c r="M12" s="9">
        <f>M11+Table24283089101314[[#This Row],[Total Purchase Amount]]-Table24283089101314[[#This Row],[Principal Cost As per  NFRS (In case of Sales)]]</f>
        <v>3291050.4000000004</v>
      </c>
      <c r="N12" s="9">
        <f>N11+Table24283089101314[[#This Row],[Purchase QTY]]-Table24283089101314[[#This Row],[Sales Qty]]</f>
        <v>7480</v>
      </c>
      <c r="O12" s="42">
        <f>IFERROR(Table24283089101314[[#This Row],[TC AP NFRS]]/Table24283089101314[[#This Row],[Unit Sum]],0)</f>
        <v>439.98000000000008</v>
      </c>
      <c r="P12" s="10">
        <f ca="1">Table24283089101314[[#This Row],[Sales Amt]]-Table24283089101314[[#This Row],[Principal Cost As per  NFRS (In case of Sales)]]</f>
        <v>0</v>
      </c>
      <c r="R12" s="17">
        <v>0</v>
      </c>
      <c r="S12" s="17"/>
      <c r="T12" s="20">
        <f t="shared" si="1"/>
        <v>0</v>
      </c>
      <c r="U12" s="20">
        <f t="shared" si="2"/>
        <v>0</v>
      </c>
      <c r="V12" s="20">
        <v>0</v>
      </c>
      <c r="W12" s="20">
        <v>0</v>
      </c>
      <c r="X12" s="55">
        <f t="shared" si="3"/>
        <v>0</v>
      </c>
      <c r="Y12" s="20">
        <v>0</v>
      </c>
      <c r="Z12" s="20">
        <f t="shared" ca="1" si="4"/>
        <v>0</v>
      </c>
      <c r="AA12" s="20">
        <f t="shared" si="5"/>
        <v>0</v>
      </c>
      <c r="AB12" s="20">
        <f t="shared" si="6"/>
        <v>3295463.5999999996</v>
      </c>
      <c r="AC12" s="20">
        <f t="shared" si="7"/>
        <v>440.56999999999994</v>
      </c>
      <c r="AD12" s="56">
        <f t="shared" ca="1" si="8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Table24283089101314[[#This Row],[Total Purchase Amount]]/Table24283089101314[[#This Row],[Purchase QTY]]</f>
        <v>#DIV/0!</v>
      </c>
      <c r="H13" s="9">
        <v>0</v>
      </c>
      <c r="I13" s="9">
        <v>0</v>
      </c>
      <c r="J13" s="9">
        <f ca="1">IFERROR(Table24283089101314[[#This Row],[Sales Amt]]/Table24283089101314[[#This Row],[Sales Qty]],0)</f>
        <v>0</v>
      </c>
      <c r="K13" s="9">
        <f ca="1">Table24283089101314[[#This Row],[Sales Qty]]*Table24283089101314[[#This Row],[SPPU]]</f>
        <v>0</v>
      </c>
      <c r="L13" s="9">
        <f>Table24283089101314[[#This Row],[Sales Qty]]*O12</f>
        <v>0</v>
      </c>
      <c r="M13" s="9">
        <f>M12+Table24283089101314[[#This Row],[Total Purchase Amount]]-Table24283089101314[[#This Row],[Principal Cost As per  NFRS (In case of Sales)]]</f>
        <v>3291050.4000000004</v>
      </c>
      <c r="N13" s="9">
        <f>N12+Table24283089101314[[#This Row],[Purchase QTY]]-Table24283089101314[[#This Row],[Sales Qty]]</f>
        <v>7480</v>
      </c>
      <c r="O13" s="42">
        <f>IFERROR(Table24283089101314[[#This Row],[TC AP NFRS]]/Table24283089101314[[#This Row],[Unit Sum]],0)</f>
        <v>439.98000000000008</v>
      </c>
      <c r="P13" s="10">
        <f ca="1">Table24283089101314[[#This Row],[Sales Amt]]-Table24283089101314[[#This Row],[Principal Cost As per  NFRS (In case of Sales)]]</f>
        <v>0</v>
      </c>
      <c r="R13" s="17">
        <v>0</v>
      </c>
      <c r="S13" s="17"/>
      <c r="T13" s="20">
        <f t="shared" si="1"/>
        <v>0</v>
      </c>
      <c r="U13" s="20">
        <f t="shared" si="2"/>
        <v>0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ca="1" si="4"/>
        <v>0</v>
      </c>
      <c r="AA13" s="20">
        <f t="shared" si="5"/>
        <v>0</v>
      </c>
      <c r="AB13" s="20">
        <f t="shared" si="6"/>
        <v>3295463.5999999996</v>
      </c>
      <c r="AC13" s="20">
        <f t="shared" si="7"/>
        <v>440.56999999999994</v>
      </c>
      <c r="AD13" s="56">
        <f t="shared" ca="1" si="8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IF(Table24283089101314[[#This Row],[SPPU]]&gt;=0,0,Table24283089101314[[#This Row],[Total Purchase Amount]]/Table24283089101314[[#This Row],[Purchase QTY]])</f>
        <v>0</v>
      </c>
      <c r="H14" s="9"/>
      <c r="I14" s="9">
        <v>0</v>
      </c>
      <c r="J14" s="9">
        <f>IFERROR(Table24283089101314[[#This Row],[Sales Amt]]/Table24283089101314[[#This Row],[Sales Qty]],0)</f>
        <v>0</v>
      </c>
      <c r="K14" s="9">
        <v>0</v>
      </c>
      <c r="L14" s="9">
        <f>Table24283089101314[[#This Row],[Sales Qty]]*O12</f>
        <v>0</v>
      </c>
      <c r="M14" s="9">
        <f>M13+Table24283089101314[[#This Row],[Total Purchase Amount]]-Table24283089101314[[#This Row],[Principal Cost As per  NFRS (In case of Sales)]]</f>
        <v>3291050.4000000004</v>
      </c>
      <c r="N14" s="9">
        <f>N13+Table24283089101314[[#This Row],[Purchase QTY]]-Table24283089101314[[#This Row],[Sales Qty]]</f>
        <v>7480</v>
      </c>
      <c r="O14" s="42">
        <f>IFERROR(Table24283089101314[[#This Row],[TC AP NFRS]]/Table24283089101314[[#This Row],[Unit Sum]],0)</f>
        <v>439.98000000000008</v>
      </c>
      <c r="P14" s="10">
        <f>Table24283089101314[[#This Row],[Sales Amt]]-Table24283089101314[[#This Row],[Principal Cost As per  NFRS (In case of Sales)]]</f>
        <v>0</v>
      </c>
      <c r="R14" s="17">
        <v>0</v>
      </c>
      <c r="S14" s="17"/>
      <c r="T14" s="20">
        <f t="shared" si="1"/>
        <v>0</v>
      </c>
      <c r="U14" s="20">
        <f t="shared" si="2"/>
        <v>0</v>
      </c>
      <c r="V14" s="20">
        <v>0</v>
      </c>
      <c r="W14" s="20">
        <v>0</v>
      </c>
      <c r="X14" s="55">
        <f t="shared" si="3"/>
        <v>0</v>
      </c>
      <c r="Y14" s="20">
        <v>0</v>
      </c>
      <c r="Z14" s="20">
        <f t="shared" si="4"/>
        <v>0</v>
      </c>
      <c r="AA14" s="20">
        <f t="shared" si="5"/>
        <v>0</v>
      </c>
      <c r="AB14" s="20">
        <f t="shared" si="6"/>
        <v>3295463.5999999996</v>
      </c>
      <c r="AC14" s="20">
        <f t="shared" si="7"/>
        <v>440.56999999999994</v>
      </c>
      <c r="AD14" s="56">
        <f t="shared" si="8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IF(Table24283089101314[[#This Row],[SPPU]]&gt;=0,0,Table24283089101314[[#This Row],[Total Purchase Amount]]/Table24283089101314[[#This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Table24283089101314[[#This Row],[Sales Qty]]*O14</f>
        <v>0</v>
      </c>
      <c r="M15" s="9">
        <f>M14+Table24283089101314[[#This Row],[Total Purchase Amount]]-Table24283089101314[[#This Row],[Principal Cost As per  NFRS (In case of Sales)]]</f>
        <v>3291050.4000000004</v>
      </c>
      <c r="N15" s="9">
        <f>N14+Table24283089101314[[#This Row],[Purchase QTY]]-Table24283089101314[[#This Row],[Sales Qty]]</f>
        <v>7480</v>
      </c>
      <c r="O15" s="42">
        <f>IFERROR(Table24283089101314[[#This Row],[TC AP NFRS]]/Table24283089101314[[#This Row],[Unit Sum]],0)</f>
        <v>439.98000000000008</v>
      </c>
      <c r="P15" s="10">
        <f>Table24283089101314[[#This Row],[Sales Amt]]-Table24283089101314[[#This Row],[Principal Cost As per  NFRS (In case of Sales)]]</f>
        <v>0</v>
      </c>
      <c r="R15" s="17">
        <v>0</v>
      </c>
      <c r="S15" s="17"/>
      <c r="T15" s="20">
        <f t="shared" si="1"/>
        <v>0</v>
      </c>
      <c r="U15" s="20">
        <f t="shared" si="2"/>
        <v>0</v>
      </c>
      <c r="V15" s="20">
        <v>0</v>
      </c>
      <c r="W15" s="20">
        <v>0</v>
      </c>
      <c r="X15" s="55">
        <f t="shared" si="3"/>
        <v>0</v>
      </c>
      <c r="Y15" s="20">
        <v>0</v>
      </c>
      <c r="Z15" s="20">
        <f t="shared" si="4"/>
        <v>0</v>
      </c>
      <c r="AA15" s="20">
        <f t="shared" si="5"/>
        <v>0</v>
      </c>
      <c r="AB15" s="20">
        <f t="shared" si="6"/>
        <v>3295463.5999999996</v>
      </c>
      <c r="AC15" s="20">
        <f t="shared" si="7"/>
        <v>440.56999999999994</v>
      </c>
      <c r="AD15" s="56">
        <f t="shared" si="8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IF(Table24283089101314[[#This Row],[SPPU]]&gt;=0,0,Table24283089101314[[#This Row],[Total Purchase Amount]]/Table24283089101314[[#This Row],[Purchase QTY]])</f>
        <v>#DIV/0!</v>
      </c>
      <c r="H16" s="9"/>
      <c r="I16" s="9">
        <v>0</v>
      </c>
      <c r="J16" s="9" t="e">
        <f>Table24283089101314[[#This Row],[Sales Amt]]/Table24283089101314[[#This Row],[Sales Qty]]</f>
        <v>#DIV/0!</v>
      </c>
      <c r="K16" s="9">
        <v>0</v>
      </c>
      <c r="L16" s="9">
        <f>Table24283089101314[[#This Row],[Sales Qty]]*O15</f>
        <v>0</v>
      </c>
      <c r="M16" s="9">
        <f>M15+Table24283089101314[[#This Row],[Total Purchase Amount]]-Table24283089101314[[#This Row],[Principal Cost As per  NFRS (In case of Sales)]]</f>
        <v>3291050.4000000004</v>
      </c>
      <c r="N16" s="9">
        <f>N15+Table24283089101314[[#This Row],[Purchase QTY]]-Table24283089101314[[#This Row],[Sales Qty]]</f>
        <v>7480</v>
      </c>
      <c r="O16" s="42">
        <f>IFERROR(Table24283089101314[[#This Row],[TC AP NFRS]]/Table24283089101314[[#This Row],[Unit Sum]],0)</f>
        <v>439.98000000000008</v>
      </c>
      <c r="P16" s="10">
        <f>Table24283089101314[[#This Row],[Sales Amt]]-Table24283089101314[[#This Row],[Principal Cost As per  NFRS (In case of Sales)]]</f>
        <v>0</v>
      </c>
      <c r="R16" s="17">
        <v>0</v>
      </c>
      <c r="S16" s="17"/>
      <c r="T16" s="20">
        <f t="shared" si="1"/>
        <v>0</v>
      </c>
      <c r="U16" s="20">
        <f t="shared" si="2"/>
        <v>0</v>
      </c>
      <c r="V16" s="20">
        <v>0</v>
      </c>
      <c r="W16" s="20">
        <v>0</v>
      </c>
      <c r="X16" s="55">
        <f t="shared" si="3"/>
        <v>0</v>
      </c>
      <c r="Y16" s="20">
        <v>0</v>
      </c>
      <c r="Z16" s="20">
        <f t="shared" si="4"/>
        <v>0</v>
      </c>
      <c r="AA16" s="20">
        <f t="shared" si="5"/>
        <v>0</v>
      </c>
      <c r="AB16" s="20">
        <f t="shared" si="6"/>
        <v>3295463.5999999996</v>
      </c>
      <c r="AC16" s="20">
        <f t="shared" si="7"/>
        <v>440.56999999999994</v>
      </c>
      <c r="AD16" s="56">
        <f t="shared" si="8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10924</v>
      </c>
      <c r="G17" s="15"/>
      <c r="H17" s="15">
        <f ca="1">SUM(INDIRECT("h4:h"&amp;ROW()-1))</f>
        <v>4806341.5200000005</v>
      </c>
      <c r="I17" s="15">
        <f ca="1">SUM(INDIRECT("i4:i"&amp;ROW()-1))</f>
        <v>3444</v>
      </c>
      <c r="J17" s="15">
        <f ca="1">Table24283089101314[[#This Row],[Sales Amt]]/Table24283089101314[[#This Row],[Sales Qty]]</f>
        <v>446.29036004645764</v>
      </c>
      <c r="K17" s="15">
        <f>SUBTOTAL(109,K7:K16)</f>
        <v>1537024</v>
      </c>
      <c r="L17" s="15">
        <f>SUBTOTAL(109,L7:L16)</f>
        <v>1515291.12</v>
      </c>
      <c r="M17" s="15">
        <f ca="1">Table24283089101314[[#This Row],[Total Purchase Amount]]-Table24283089101314[[#This Row],[Principal Cost As per  NFRS (In case of Sales)]]</f>
        <v>3291050.4000000004</v>
      </c>
      <c r="N17" s="15">
        <f ca="1">Table24283089101314[[#This Row],[Purchase QTY]]-Table24283089101314[[#This Row],[Sales Qty]]</f>
        <v>7480</v>
      </c>
      <c r="O17" s="43">
        <f ca="1">Table24283089101314[[#This Row],[TC AP NFRS]]/Table24283089101314[[#This Row],[Unit Sum]]</f>
        <v>439.98000000000008</v>
      </c>
      <c r="P17" s="15">
        <f ca="1">SUM(INDIRECT("p4:p"&amp;ROW()-1))</f>
        <v>21732.880000000005</v>
      </c>
      <c r="R17" s="24">
        <f t="shared" ref="R17:AA17" si="9">SUM(R7:R16)</f>
        <v>0</v>
      </c>
      <c r="S17" s="24">
        <f t="shared" si="9"/>
        <v>0</v>
      </c>
      <c r="T17" s="24">
        <f t="shared" si="9"/>
        <v>0</v>
      </c>
      <c r="U17" s="24">
        <f t="shared" si="9"/>
        <v>4812786.68</v>
      </c>
      <c r="V17" s="24">
        <f t="shared" si="9"/>
        <v>5125.13</v>
      </c>
      <c r="W17" s="24">
        <f t="shared" si="9"/>
        <v>75</v>
      </c>
      <c r="X17" s="24">
        <f t="shared" si="9"/>
        <v>5200.13</v>
      </c>
      <c r="Y17" s="24">
        <f t="shared" si="9"/>
        <v>1451.8000000000002</v>
      </c>
      <c r="Z17" s="24">
        <f t="shared" ca="1" si="9"/>
        <v>1530372.07</v>
      </c>
      <c r="AA17" s="24">
        <f t="shared" si="9"/>
        <v>1517323.08</v>
      </c>
      <c r="AB17" s="24">
        <f>U17-AA17</f>
        <v>3295463.5999999996</v>
      </c>
      <c r="AC17" s="26">
        <f ca="1">AB17/Table24283089101314[[#This Row],[Unit Sum]]</f>
        <v>440.56999999999994</v>
      </c>
      <c r="AD17" s="24">
        <f ca="1">SUM(AD7:AD16)</f>
        <v>14500.790000000179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82</v>
      </c>
      <c r="C21" s="97"/>
      <c r="D21" s="98">
        <v>45886</v>
      </c>
      <c r="E21" s="99" t="s">
        <v>19</v>
      </c>
      <c r="F21" s="59">
        <v>10924</v>
      </c>
      <c r="G21" s="59"/>
      <c r="H21" s="59">
        <v>4806341.5200000005</v>
      </c>
      <c r="I21" s="59">
        <v>3444</v>
      </c>
      <c r="J21" s="59">
        <v>446.29036004645764</v>
      </c>
      <c r="K21" s="59">
        <v>1537024</v>
      </c>
      <c r="L21" s="59">
        <v>1515291.12</v>
      </c>
      <c r="M21" s="59">
        <v>3291050.4000000004</v>
      </c>
      <c r="N21" s="59">
        <v>7480</v>
      </c>
      <c r="O21" s="59">
        <v>439.98000000000008</v>
      </c>
      <c r="P21" s="59">
        <v>21732.880000000005</v>
      </c>
      <c r="Q21" s="59"/>
      <c r="R21" s="59">
        <v>0</v>
      </c>
      <c r="S21" s="59">
        <v>0</v>
      </c>
      <c r="T21" s="59">
        <v>0</v>
      </c>
      <c r="U21" s="59">
        <v>4812786.68</v>
      </c>
      <c r="V21" s="59">
        <v>5125.13</v>
      </c>
      <c r="W21" s="59">
        <v>75</v>
      </c>
      <c r="X21" s="59">
        <v>5200.13</v>
      </c>
      <c r="Y21" s="59">
        <v>1451.8000000000002</v>
      </c>
      <c r="Z21" s="59">
        <v>1530372.07</v>
      </c>
      <c r="AA21" s="59">
        <v>1517323.08</v>
      </c>
      <c r="AB21" s="59">
        <v>3295463.5999999996</v>
      </c>
      <c r="AC21" s="59">
        <v>440.56999999999994</v>
      </c>
      <c r="AD21" s="59">
        <v>14500.790000000179</v>
      </c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2" right="0.19685039370078741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3AD3FF-FE9A-4CFB-9D9E-4ABA03EF83F5}">
          <x14:formula1>
            <xm:f>VALIDATION!$A$2:$A$7</xm:f>
          </x14:formula1>
          <xm:sqref>E7:E16 E21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9B1B-0590-4C6A-9F98-F80E968F16F9}">
  <dimension ref="A1:AE21"/>
  <sheetViews>
    <sheetView workbookViewId="0">
      <selection activeCell="AD19" sqref="A19:AD20"/>
    </sheetView>
  </sheetViews>
  <sheetFormatPr defaultRowHeight="15" x14ac:dyDescent="0.25"/>
  <cols>
    <col min="2" max="2" width="8.140625" bestFit="1" customWidth="1"/>
    <col min="3" max="3" width="18.5703125" customWidth="1"/>
    <col min="4" max="4" width="10.28515625" bestFit="1" customWidth="1"/>
    <col min="6" max="6" width="13.5703125" bestFit="1" customWidth="1"/>
    <col min="7" max="7" width="9.28515625" bestFit="1" customWidth="1"/>
    <col min="8" max="8" width="16.85546875" bestFit="1" customWidth="1"/>
    <col min="9" max="9" width="10.85546875" bestFit="1" customWidth="1"/>
    <col min="10" max="10" width="9.5703125" customWidth="1"/>
    <col min="11" max="11" width="12.42578125" bestFit="1" customWidth="1"/>
    <col min="12" max="12" width="13.5703125" bestFit="1" customWidth="1"/>
    <col min="13" max="13" width="15.140625" bestFit="1" customWidth="1"/>
    <col min="14" max="14" width="14.5703125" bestFit="1" customWidth="1"/>
    <col min="15" max="15" width="11.42578125" bestFit="1" customWidth="1"/>
    <col min="16" max="16" width="15.140625" bestFit="1" customWidth="1"/>
    <col min="17" max="17" width="13.85546875" bestFit="1" customWidth="1"/>
    <col min="18" max="18" width="11.42578125" bestFit="1" customWidth="1"/>
    <col min="20" max="20" width="10.85546875" bestFit="1" customWidth="1"/>
    <col min="21" max="21" width="15.28515625" customWidth="1"/>
    <col min="22" max="22" width="10" bestFit="1" customWidth="1"/>
    <col min="23" max="24" width="11.42578125" bestFit="1" customWidth="1"/>
    <col min="25" max="25" width="8.42578125" bestFit="1" customWidth="1"/>
    <col min="26" max="26" width="12.42578125" bestFit="1" customWidth="1"/>
    <col min="27" max="27" width="16.140625" customWidth="1"/>
    <col min="28" max="28" width="16.85546875" bestFit="1" customWidth="1"/>
    <col min="29" max="29" width="11.42578125" customWidth="1"/>
    <col min="30" max="30" width="9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83</v>
      </c>
      <c r="C7" s="6"/>
      <c r="D7" s="7">
        <v>45855</v>
      </c>
      <c r="E7" s="8" t="s">
        <v>19</v>
      </c>
      <c r="F7" s="9">
        <v>10147</v>
      </c>
      <c r="G7" s="9">
        <v>474.24</v>
      </c>
      <c r="H7" s="9">
        <f>Table2428308910131415[[#This Row],[Purchase QTY]]*Table2428308910131415[[#This Row],[PPPU]]</f>
        <v>4812113.28</v>
      </c>
      <c r="I7" s="9"/>
      <c r="J7" s="9"/>
      <c r="K7" s="9"/>
      <c r="L7" s="9"/>
      <c r="M7" s="9">
        <f>Table2428308910131415[[#This Row],[Total Purchase Amount]]</f>
        <v>4812113.28</v>
      </c>
      <c r="N7" s="9">
        <f>IF(Table2428308910131415[[#This Row],[Txn Type]]="opening",Table2428308910131415[[#This Row],[Purchase QTY]],"Error")</f>
        <v>10147</v>
      </c>
      <c r="O7" s="42">
        <f>IFERROR(Table2428308910131415[[#This Row],[TC AP NFRS]]/Table2428308910131415[[#This Row],[Unit Sum]],0)</f>
        <v>474.24</v>
      </c>
      <c r="P7" s="10">
        <f>Table2428308910131415[[#This Row],[Sales Amt]]-Table2428308910131415[[#This Row],[Principal Cost As per  NFRS (In case of Sales)]]</f>
        <v>0</v>
      </c>
      <c r="R7" s="17"/>
      <c r="S7" s="17"/>
      <c r="T7" s="20">
        <f>R7+S7</f>
        <v>0</v>
      </c>
      <c r="U7" s="20">
        <f>AB7</f>
        <v>5798726.8322693026</v>
      </c>
      <c r="V7" s="20"/>
      <c r="W7" s="20"/>
      <c r="X7" s="20"/>
      <c r="Y7" s="46"/>
      <c r="Z7" s="46"/>
      <c r="AA7" s="46"/>
      <c r="AB7" s="46">
        <f>F7*AC7</f>
        <v>5798726.8322693026</v>
      </c>
      <c r="AC7" s="46">
        <v>571.47204417752073</v>
      </c>
      <c r="AD7" s="56"/>
    </row>
    <row r="8" spans="1:31" x14ac:dyDescent="0.25">
      <c r="A8" s="5">
        <f>A7+1</f>
        <v>2</v>
      </c>
      <c r="B8" s="6" t="s">
        <v>83</v>
      </c>
      <c r="C8" s="6" t="s">
        <v>84</v>
      </c>
      <c r="D8" s="7">
        <v>45855</v>
      </c>
      <c r="E8" s="8" t="s">
        <v>55</v>
      </c>
      <c r="F8" s="9">
        <v>1000</v>
      </c>
      <c r="G8" s="9">
        <f>Table2428308910131415[[#This Row],[Total Purchase Amount]]/Table2428308910131415[[#This Row],[Purchase QTY]]</f>
        <v>490</v>
      </c>
      <c r="H8" s="9">
        <v>490000</v>
      </c>
      <c r="I8" s="9">
        <v>0</v>
      </c>
      <c r="J8" s="9">
        <f>IFERROR(Table2428308910131415[[#This Row],[Sales Amt]]/Table2428308910131415[[#This Row],[Sales Qty]],0)</f>
        <v>0</v>
      </c>
      <c r="K8" s="9">
        <v>0</v>
      </c>
      <c r="L8" s="9">
        <f>Table2428308910131415[[#This Row],[Sales Qty]]*O7</f>
        <v>0</v>
      </c>
      <c r="M8" s="9">
        <f>M7+Table2428308910131415[[#This Row],[Total Purchase Amount]]-Table2428308910131415[[#This Row],[Principal Cost As per  NFRS (In case of Sales)]]</f>
        <v>5302113.28</v>
      </c>
      <c r="N8" s="9">
        <f>N7+Table2428308910131415[[#This Row],[Purchase QTY]]-Table2428308910131415[[#This Row],[Sales Qty]]</f>
        <v>11147</v>
      </c>
      <c r="O8" s="42">
        <f>IFERROR(Table2428308910131415[[#This Row],[TC AP NFRS]]/Table2428308910131415[[#This Row],[Unit Sum]],0)</f>
        <v>475.65383331838166</v>
      </c>
      <c r="P8" s="10">
        <f>Table2428308910131415[[#This Row],[Sales Amt]]-Table2428308910131415[[#This Row],[Principal Cost As per  NFRS (In case of Sales)]]</f>
        <v>0</v>
      </c>
      <c r="R8" s="17">
        <f>73.5+1627.87</f>
        <v>1701.37</v>
      </c>
      <c r="S8" s="17">
        <v>25</v>
      </c>
      <c r="T8" s="20">
        <f>R8+S8</f>
        <v>1726.37</v>
      </c>
      <c r="U8" s="20">
        <f>H8+T8</f>
        <v>491726.37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6290453.2022693027</v>
      </c>
      <c r="AC8" s="20">
        <f>IFERROR(AB8/N8,0)</f>
        <v>564.31804093202675</v>
      </c>
      <c r="AD8" s="56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IF(Table2428308910131415[[#This Row],[SPPU]]&gt;=0,0,Table2428308910131415[[#This Row],[Total Purchase Amount]]/Table2428308910131415[[#This Row],[Purchase QTY]])</f>
        <v>0</v>
      </c>
      <c r="H9" s="9">
        <v>0</v>
      </c>
      <c r="I9" s="9">
        <v>0</v>
      </c>
      <c r="J9" s="9">
        <f>IFERROR(Table2428308910131415[[#This Row],[Sales Amt]]/Table2428308910131415[[#This Row],[Sales Qty]],0)</f>
        <v>0</v>
      </c>
      <c r="K9" s="9">
        <v>0</v>
      </c>
      <c r="L9" s="9">
        <f>Table2428308910131415[[#This Row],[Sales Qty]]*O8</f>
        <v>0</v>
      </c>
      <c r="M9" s="9">
        <f>M8+Table2428308910131415[[#This Row],[Total Purchase Amount]]-Table2428308910131415[[#This Row],[Principal Cost As per  NFRS (In case of Sales)]]</f>
        <v>5302113.28</v>
      </c>
      <c r="N9" s="9">
        <f>N8+Table2428308910131415[[#This Row],[Purchase QTY]]-Table2428308910131415[[#This Row],[Sales Qty]]</f>
        <v>11147</v>
      </c>
      <c r="O9" s="42">
        <f>IFERROR(Table2428308910131415[[#This Row],[TC AP NFRS]]/Table2428308910131415[[#This Row],[Unit Sum]],0)</f>
        <v>475.65383331838166</v>
      </c>
      <c r="P9" s="10">
        <f>Table2428308910131415[[#This Row],[Sales Amt]]-Table2428308910131415[[#This Row],[Principal Cost As per  NFRS (In case of Sales)]]</f>
        <v>0</v>
      </c>
      <c r="R9" s="17">
        <v>0</v>
      </c>
      <c r="S9" s="17"/>
      <c r="T9" s="20">
        <f t="shared" ref="T9" si="1">R9+S9</f>
        <v>0</v>
      </c>
      <c r="U9" s="20">
        <f t="shared" ref="U9" si="2">H9+T9</f>
        <v>0</v>
      </c>
      <c r="V9" s="20">
        <v>0</v>
      </c>
      <c r="W9" s="20">
        <v>0</v>
      </c>
      <c r="X9" s="55">
        <f t="shared" ref="X9" si="3">V9+W9</f>
        <v>0</v>
      </c>
      <c r="Y9" s="20">
        <v>0</v>
      </c>
      <c r="Z9" s="20">
        <f t="shared" ref="Z9" si="4">K9-X9-Y9</f>
        <v>0</v>
      </c>
      <c r="AA9" s="20">
        <f t="shared" ref="AA9" si="5">I9*AC8</f>
        <v>0</v>
      </c>
      <c r="AB9" s="20">
        <f t="shared" ref="AB9" si="6">AB8+U9-AA9</f>
        <v>6290453.2022693027</v>
      </c>
      <c r="AC9" s="20">
        <f t="shared" ref="AC9" si="7">IFERROR(AB9/N9,0)</f>
        <v>564.31804093202675</v>
      </c>
      <c r="AD9" s="56">
        <f t="shared" ref="AD9" si="8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IF(Table2428308910131415[[#This Row],[SPPU]]&gt;=0,0,Table2428308910131415[[#This Row],[Total Purchase Amount]]/Table2428308910131415[[#This Row],[Purchase QTY]])</f>
        <v>0</v>
      </c>
      <c r="H10" s="9"/>
      <c r="I10" s="9">
        <v>0</v>
      </c>
      <c r="J10" s="9">
        <v>0</v>
      </c>
      <c r="K10" s="9">
        <f>Table2428308910131415[[#This Row],[Sales Qty]]*Table2428308910131415[[#This Row],[SPPU]]</f>
        <v>0</v>
      </c>
      <c r="L10" s="9">
        <f>Table2428308910131415[[#This Row],[Sales Qty]]*O9</f>
        <v>0</v>
      </c>
      <c r="M10" s="9">
        <f>M9+Table2428308910131415[[#This Row],[Total Purchase Amount]]-Table2428308910131415[[#This Row],[Principal Cost As per  NFRS (In case of Sales)]]</f>
        <v>5302113.28</v>
      </c>
      <c r="N10" s="9">
        <f>N9+Table2428308910131415[[#This Row],[Purchase QTY]]-Table2428308910131415[[#This Row],[Sales Qty]]</f>
        <v>11147</v>
      </c>
      <c r="O10" s="42">
        <f>IFERROR(Table2428308910131415[[#This Row],[TC AP NFRS]]/Table2428308910131415[[#This Row],[Unit Sum]],0)</f>
        <v>475.65383331838166</v>
      </c>
      <c r="P10" s="10">
        <f>Table2428308910131415[[#This Row],[Sales Amt]]-Table2428308910131415[[#This Row],[Principal Cost As per  NFRS (In case of Sales)]]</f>
        <v>0</v>
      </c>
      <c r="R10" s="17">
        <v>0</v>
      </c>
      <c r="S10" s="17"/>
      <c r="T10" s="20">
        <f t="shared" ref="T10:T16" si="9">R10+S10</f>
        <v>0</v>
      </c>
      <c r="U10" s="20">
        <f t="shared" ref="U10:U16" si="10">H10+T10</f>
        <v>0</v>
      </c>
      <c r="V10" s="20">
        <v>0</v>
      </c>
      <c r="W10" s="20">
        <v>0</v>
      </c>
      <c r="X10" s="55">
        <f t="shared" ref="X10:X16" si="11">V10+W10</f>
        <v>0</v>
      </c>
      <c r="Y10" s="20">
        <v>0</v>
      </c>
      <c r="Z10" s="20">
        <f t="shared" ref="Z10:Z16" si="12">K10-X10-Y10</f>
        <v>0</v>
      </c>
      <c r="AA10" s="20">
        <f t="shared" ref="AA10:AA16" si="13">I10*AC9</f>
        <v>0</v>
      </c>
      <c r="AB10" s="20">
        <f t="shared" ref="AB10:AB16" si="14">AB9+U10-AA10</f>
        <v>6290453.2022693027</v>
      </c>
      <c r="AC10" s="20">
        <f t="shared" ref="AC10:AC16" si="15">IFERROR(AB10/N10,0)</f>
        <v>564.31804093202675</v>
      </c>
      <c r="AD10" s="56">
        <f t="shared" ref="AD10:AD16" si="16">Z10-AA10+Y10</f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IF(Table2428308910131415[[#This Row],[SPPU]]&gt;=0,0,Table2428308910131415[[#This Row],[Total Purchase Amount]]/Table2428308910131415[[#This Row],[Purchase QTY]])</f>
        <v>#DIV/0!</v>
      </c>
      <c r="H11" s="9"/>
      <c r="I11" s="9">
        <v>0</v>
      </c>
      <c r="J11" s="9" t="e">
        <f>Table2428308910131415[[#This Row],[Sales Amt]]/Table2428308910131415[[#This Row],[Sales Qty]]</f>
        <v>#DIV/0!</v>
      </c>
      <c r="K11" s="9">
        <v>0</v>
      </c>
      <c r="L11" s="9">
        <f>Table2428308910131415[[#This Row],[Sales Qty]]*O10</f>
        <v>0</v>
      </c>
      <c r="M11" s="9">
        <f>M10+Table2428308910131415[[#This Row],[Total Purchase Amount]]-Table2428308910131415[[#This Row],[Principal Cost As per  NFRS (In case of Sales)]]</f>
        <v>5302113.28</v>
      </c>
      <c r="N11" s="9">
        <f>N10+Table2428308910131415[[#This Row],[Purchase QTY]]-Table2428308910131415[[#This Row],[Sales Qty]]</f>
        <v>11147</v>
      </c>
      <c r="O11" s="42">
        <f>IFERROR(Table2428308910131415[[#This Row],[TC AP NFRS]]/Table2428308910131415[[#This Row],[Unit Sum]],0)</f>
        <v>475.65383331838166</v>
      </c>
      <c r="P11" s="10">
        <f>Table2428308910131415[[#This Row],[Sales Amt]]-Table2428308910131415[[#This Row],[Principal Cost As per  NFRS (In case of Sales)]]</f>
        <v>0</v>
      </c>
      <c r="R11" s="17">
        <v>0</v>
      </c>
      <c r="S11" s="17"/>
      <c r="T11" s="20">
        <f t="shared" si="9"/>
        <v>0</v>
      </c>
      <c r="U11" s="20">
        <f t="shared" si="10"/>
        <v>0</v>
      </c>
      <c r="V11" s="20">
        <v>0</v>
      </c>
      <c r="W11" s="20">
        <v>0</v>
      </c>
      <c r="X11" s="55">
        <f t="shared" si="11"/>
        <v>0</v>
      </c>
      <c r="Y11" s="20">
        <v>0</v>
      </c>
      <c r="Z11" s="20">
        <f t="shared" si="12"/>
        <v>0</v>
      </c>
      <c r="AA11" s="20">
        <f t="shared" si="13"/>
        <v>0</v>
      </c>
      <c r="AB11" s="20">
        <f t="shared" si="14"/>
        <v>6290453.2022693027</v>
      </c>
      <c r="AC11" s="20">
        <f t="shared" si="15"/>
        <v>564.31804093202675</v>
      </c>
      <c r="AD11" s="56">
        <f t="shared" si="16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Table2428308910131415[[#This Row],[Total Purchase Amount]]/Table2428308910131415[[#This Row],[Purchase QTY]]</f>
        <v>#DIV/0!</v>
      </c>
      <c r="H12" s="9">
        <v>0</v>
      </c>
      <c r="I12" s="9">
        <v>0</v>
      </c>
      <c r="J12" s="9">
        <f ca="1">IFERROR(Table2428308910131415[[#This Row],[Sales Amt]]/Table2428308910131415[[#This Row],[Sales Qty]],0)</f>
        <v>0</v>
      </c>
      <c r="K12" s="9">
        <f ca="1">Table2428308910131415[[#This Row],[Sales Qty]]*Table2428308910131415[[#This Row],[SPPU]]</f>
        <v>0</v>
      </c>
      <c r="L12" s="9">
        <f>Table2428308910131415[[#This Row],[Sales Qty]]*O11</f>
        <v>0</v>
      </c>
      <c r="M12" s="9">
        <f>M11+Table2428308910131415[[#This Row],[Total Purchase Amount]]-Table2428308910131415[[#This Row],[Principal Cost As per  NFRS (In case of Sales)]]</f>
        <v>5302113.28</v>
      </c>
      <c r="N12" s="9">
        <f>N11+Table2428308910131415[[#This Row],[Purchase QTY]]-Table2428308910131415[[#This Row],[Sales Qty]]</f>
        <v>11147</v>
      </c>
      <c r="O12" s="42">
        <f>IFERROR(Table2428308910131415[[#This Row],[TC AP NFRS]]/Table2428308910131415[[#This Row],[Unit Sum]],0)</f>
        <v>475.65383331838166</v>
      </c>
      <c r="P12" s="10">
        <f ca="1">Table2428308910131415[[#This Row],[Sales Amt]]-Table2428308910131415[[#This Row],[Principal Cost As per  NFRS (In case of Sales)]]</f>
        <v>0</v>
      </c>
      <c r="R12" s="17">
        <v>0</v>
      </c>
      <c r="S12" s="17"/>
      <c r="T12" s="20">
        <f t="shared" si="9"/>
        <v>0</v>
      </c>
      <c r="U12" s="20">
        <f t="shared" si="10"/>
        <v>0</v>
      </c>
      <c r="V12" s="20">
        <v>0</v>
      </c>
      <c r="W12" s="20">
        <v>0</v>
      </c>
      <c r="X12" s="55">
        <f t="shared" si="11"/>
        <v>0</v>
      </c>
      <c r="Y12" s="20">
        <v>0</v>
      </c>
      <c r="Z12" s="20">
        <f t="shared" ca="1" si="12"/>
        <v>0</v>
      </c>
      <c r="AA12" s="20">
        <f t="shared" si="13"/>
        <v>0</v>
      </c>
      <c r="AB12" s="20">
        <f t="shared" si="14"/>
        <v>6290453.2022693027</v>
      </c>
      <c r="AC12" s="20">
        <f t="shared" si="15"/>
        <v>564.31804093202675</v>
      </c>
      <c r="AD12" s="56">
        <f t="shared" ca="1" si="16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Table2428308910131415[[#This Row],[Total Purchase Amount]]/Table2428308910131415[[#This Row],[Purchase QTY]]</f>
        <v>#DIV/0!</v>
      </c>
      <c r="H13" s="9">
        <v>0</v>
      </c>
      <c r="I13" s="9">
        <v>0</v>
      </c>
      <c r="J13" s="9">
        <f ca="1">IFERROR(Table2428308910131415[[#This Row],[Sales Amt]]/Table2428308910131415[[#This Row],[Sales Qty]],0)</f>
        <v>0</v>
      </c>
      <c r="K13" s="9">
        <f ca="1">Table2428308910131415[[#This Row],[Sales Qty]]*Table2428308910131415[[#This Row],[SPPU]]</f>
        <v>0</v>
      </c>
      <c r="L13" s="9">
        <f>Table2428308910131415[[#This Row],[Sales Qty]]*O12</f>
        <v>0</v>
      </c>
      <c r="M13" s="9">
        <f>M12+Table2428308910131415[[#This Row],[Total Purchase Amount]]-Table2428308910131415[[#This Row],[Principal Cost As per  NFRS (In case of Sales)]]</f>
        <v>5302113.28</v>
      </c>
      <c r="N13" s="9">
        <f>N12+Table2428308910131415[[#This Row],[Purchase QTY]]-Table2428308910131415[[#This Row],[Sales Qty]]</f>
        <v>11147</v>
      </c>
      <c r="O13" s="42">
        <f>IFERROR(Table2428308910131415[[#This Row],[TC AP NFRS]]/Table2428308910131415[[#This Row],[Unit Sum]],0)</f>
        <v>475.65383331838166</v>
      </c>
      <c r="P13" s="10">
        <f ca="1">Table2428308910131415[[#This Row],[Sales Amt]]-Table2428308910131415[[#This Row],[Principal Cost As per  NFRS (In case of Sales)]]</f>
        <v>0</v>
      </c>
      <c r="R13" s="17">
        <v>0</v>
      </c>
      <c r="S13" s="17"/>
      <c r="T13" s="20">
        <f t="shared" si="9"/>
        <v>0</v>
      </c>
      <c r="U13" s="20">
        <f t="shared" si="10"/>
        <v>0</v>
      </c>
      <c r="V13" s="20">
        <v>0</v>
      </c>
      <c r="W13" s="20">
        <v>0</v>
      </c>
      <c r="X13" s="55">
        <f t="shared" si="11"/>
        <v>0</v>
      </c>
      <c r="Y13" s="20">
        <v>0</v>
      </c>
      <c r="Z13" s="20">
        <f t="shared" ca="1" si="12"/>
        <v>0</v>
      </c>
      <c r="AA13" s="20">
        <f t="shared" si="13"/>
        <v>0</v>
      </c>
      <c r="AB13" s="20">
        <f t="shared" si="14"/>
        <v>6290453.2022693027</v>
      </c>
      <c r="AC13" s="20">
        <f t="shared" si="15"/>
        <v>564.31804093202675</v>
      </c>
      <c r="AD13" s="56">
        <f t="shared" ca="1" si="16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IF(Table2428308910131415[[#This Row],[SPPU]]&gt;=0,0,Table2428308910131415[[#This Row],[Total Purchase Amount]]/Table2428308910131415[[#This Row],[Purchase QTY]])</f>
        <v>0</v>
      </c>
      <c r="H14" s="9"/>
      <c r="I14" s="9">
        <v>0</v>
      </c>
      <c r="J14" s="9">
        <f>IFERROR(Table2428308910131415[[#This Row],[Sales Amt]]/Table2428308910131415[[#This Row],[Sales Qty]],0)</f>
        <v>0</v>
      </c>
      <c r="K14" s="9">
        <v>0</v>
      </c>
      <c r="L14" s="9">
        <f>Table2428308910131415[[#This Row],[Sales Qty]]*O12</f>
        <v>0</v>
      </c>
      <c r="M14" s="9">
        <f>M13+Table2428308910131415[[#This Row],[Total Purchase Amount]]-Table2428308910131415[[#This Row],[Principal Cost As per  NFRS (In case of Sales)]]</f>
        <v>5302113.28</v>
      </c>
      <c r="N14" s="9">
        <f>N13+Table2428308910131415[[#This Row],[Purchase QTY]]-Table2428308910131415[[#This Row],[Sales Qty]]</f>
        <v>11147</v>
      </c>
      <c r="O14" s="42">
        <f>IFERROR(Table2428308910131415[[#This Row],[TC AP NFRS]]/Table2428308910131415[[#This Row],[Unit Sum]],0)</f>
        <v>475.65383331838166</v>
      </c>
      <c r="P14" s="10">
        <f>Table2428308910131415[[#This Row],[Sales Amt]]-Table2428308910131415[[#This Row],[Principal Cost As per  NFRS (In case of Sales)]]</f>
        <v>0</v>
      </c>
      <c r="R14" s="17">
        <v>0</v>
      </c>
      <c r="S14" s="17"/>
      <c r="T14" s="20">
        <f t="shared" si="9"/>
        <v>0</v>
      </c>
      <c r="U14" s="20">
        <f t="shared" si="10"/>
        <v>0</v>
      </c>
      <c r="V14" s="20">
        <v>0</v>
      </c>
      <c r="W14" s="20">
        <v>0</v>
      </c>
      <c r="X14" s="55">
        <f t="shared" si="11"/>
        <v>0</v>
      </c>
      <c r="Y14" s="20">
        <v>0</v>
      </c>
      <c r="Z14" s="20">
        <f t="shared" si="12"/>
        <v>0</v>
      </c>
      <c r="AA14" s="20">
        <f t="shared" si="13"/>
        <v>0</v>
      </c>
      <c r="AB14" s="20">
        <f t="shared" si="14"/>
        <v>6290453.2022693027</v>
      </c>
      <c r="AC14" s="20">
        <f t="shared" si="15"/>
        <v>564.31804093202675</v>
      </c>
      <c r="AD14" s="56">
        <f t="shared" si="16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IF(Table2428308910131415[[#This Row],[SPPU]]&gt;=0,0,Table2428308910131415[[#This Row],[Total Purchase Amount]]/Table2428308910131415[[#This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Table2428308910131415[[#This Row],[Sales Qty]]*O14</f>
        <v>0</v>
      </c>
      <c r="M15" s="9">
        <f>M14+Table2428308910131415[[#This Row],[Total Purchase Amount]]-Table2428308910131415[[#This Row],[Principal Cost As per  NFRS (In case of Sales)]]</f>
        <v>5302113.28</v>
      </c>
      <c r="N15" s="9">
        <f>N14+Table2428308910131415[[#This Row],[Purchase QTY]]-Table2428308910131415[[#This Row],[Sales Qty]]</f>
        <v>11147</v>
      </c>
      <c r="O15" s="42">
        <f>IFERROR(Table2428308910131415[[#This Row],[TC AP NFRS]]/Table2428308910131415[[#This Row],[Unit Sum]],0)</f>
        <v>475.65383331838166</v>
      </c>
      <c r="P15" s="10">
        <f>Table2428308910131415[[#This Row],[Sales Amt]]-Table2428308910131415[[#This Row],[Principal Cost As per  NFRS (In case of Sales)]]</f>
        <v>0</v>
      </c>
      <c r="R15" s="17">
        <v>0</v>
      </c>
      <c r="S15" s="17"/>
      <c r="T15" s="20">
        <f t="shared" si="9"/>
        <v>0</v>
      </c>
      <c r="U15" s="20">
        <f t="shared" si="10"/>
        <v>0</v>
      </c>
      <c r="V15" s="20">
        <v>0</v>
      </c>
      <c r="W15" s="20">
        <v>0</v>
      </c>
      <c r="X15" s="55">
        <f t="shared" si="11"/>
        <v>0</v>
      </c>
      <c r="Y15" s="20">
        <v>0</v>
      </c>
      <c r="Z15" s="20">
        <f t="shared" si="12"/>
        <v>0</v>
      </c>
      <c r="AA15" s="20">
        <f t="shared" si="13"/>
        <v>0</v>
      </c>
      <c r="AB15" s="20">
        <f t="shared" si="14"/>
        <v>6290453.2022693027</v>
      </c>
      <c r="AC15" s="20">
        <f t="shared" si="15"/>
        <v>564.31804093202675</v>
      </c>
      <c r="AD15" s="56">
        <f t="shared" si="16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IF(Table2428308910131415[[#This Row],[SPPU]]&gt;=0,0,Table2428308910131415[[#This Row],[Total Purchase Amount]]/Table2428308910131415[[#This Row],[Purchase QTY]])</f>
        <v>#DIV/0!</v>
      </c>
      <c r="H16" s="9"/>
      <c r="I16" s="9">
        <v>0</v>
      </c>
      <c r="J16" s="9" t="e">
        <f>Table2428308910131415[[#This Row],[Sales Amt]]/Table2428308910131415[[#This Row],[Sales Qty]]</f>
        <v>#DIV/0!</v>
      </c>
      <c r="K16" s="9">
        <v>0</v>
      </c>
      <c r="L16" s="9">
        <f>Table2428308910131415[[#This Row],[Sales Qty]]*O15</f>
        <v>0</v>
      </c>
      <c r="M16" s="9">
        <f>M15+Table2428308910131415[[#This Row],[Total Purchase Amount]]-Table2428308910131415[[#This Row],[Principal Cost As per  NFRS (In case of Sales)]]</f>
        <v>5302113.28</v>
      </c>
      <c r="N16" s="9">
        <f>N15+Table2428308910131415[[#This Row],[Purchase QTY]]-Table2428308910131415[[#This Row],[Sales Qty]]</f>
        <v>11147</v>
      </c>
      <c r="O16" s="42">
        <f>IFERROR(Table2428308910131415[[#This Row],[TC AP NFRS]]/Table2428308910131415[[#This Row],[Unit Sum]],0)</f>
        <v>475.65383331838166</v>
      </c>
      <c r="P16" s="10">
        <f>Table2428308910131415[[#This Row],[Sales Amt]]-Table2428308910131415[[#This Row],[Principal Cost As per  NFRS (In case of Sales)]]</f>
        <v>0</v>
      </c>
      <c r="R16" s="17">
        <v>0</v>
      </c>
      <c r="S16" s="17"/>
      <c r="T16" s="20">
        <f t="shared" si="9"/>
        <v>0</v>
      </c>
      <c r="U16" s="20">
        <f t="shared" si="10"/>
        <v>0</v>
      </c>
      <c r="V16" s="20">
        <v>0</v>
      </c>
      <c r="W16" s="20">
        <v>0</v>
      </c>
      <c r="X16" s="55">
        <f t="shared" si="11"/>
        <v>0</v>
      </c>
      <c r="Y16" s="20">
        <v>0</v>
      </c>
      <c r="Z16" s="20">
        <f t="shared" si="12"/>
        <v>0</v>
      </c>
      <c r="AA16" s="20">
        <f t="shared" si="13"/>
        <v>0</v>
      </c>
      <c r="AB16" s="20">
        <f t="shared" si="14"/>
        <v>6290453.2022693027</v>
      </c>
      <c r="AC16" s="20">
        <f t="shared" si="15"/>
        <v>564.31804093202675</v>
      </c>
      <c r="AD16" s="56">
        <f t="shared" si="16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11147</v>
      </c>
      <c r="G17" s="15"/>
      <c r="H17" s="15">
        <f ca="1">SUM(INDIRECT("h4:h"&amp;ROW()-1))</f>
        <v>5302113.28</v>
      </c>
      <c r="I17" s="15">
        <f ca="1">SUM(INDIRECT("i4:i"&amp;ROW()-1))</f>
        <v>0</v>
      </c>
      <c r="J17" s="15" t="e">
        <f ca="1">Table2428308910131415[[#This Row],[Sales Amt]]/Table2428308910131415[[#This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Table2428308910131415[[#This Row],[Total Purchase Amount]]-Table2428308910131415[[#This Row],[Principal Cost As per  NFRS (In case of Sales)]]</f>
        <v>5302113.28</v>
      </c>
      <c r="N17" s="15">
        <f ca="1">Table2428308910131415[[#This Row],[Purchase QTY]]-Table2428308910131415[[#This Row],[Sales Qty]]</f>
        <v>11147</v>
      </c>
      <c r="O17" s="43">
        <f ca="1">Table2428308910131415[[#This Row],[TC AP NFRS]]/Table2428308910131415[[#This Row],[Unit Sum]]</f>
        <v>475.65383331838166</v>
      </c>
      <c r="P17" s="15">
        <f ca="1">SUM(INDIRECT("p4:p"&amp;ROW()-1))</f>
        <v>0</v>
      </c>
      <c r="R17" s="24">
        <f>SUM(R7:R9)</f>
        <v>1701.37</v>
      </c>
      <c r="S17" s="24">
        <f t="shared" ref="S17:AA17" si="17">SUM(S7:S9)</f>
        <v>25</v>
      </c>
      <c r="T17" s="25">
        <f t="shared" si="17"/>
        <v>1726.37</v>
      </c>
      <c r="U17" s="25">
        <f>SUM(U7:U9)</f>
        <v>6290453.2022693027</v>
      </c>
      <c r="V17" s="24">
        <f>SUM(V7:V9)</f>
        <v>0</v>
      </c>
      <c r="W17" s="24">
        <f t="shared" si="17"/>
        <v>0</v>
      </c>
      <c r="X17" s="24">
        <f t="shared" si="17"/>
        <v>0</v>
      </c>
      <c r="Y17" s="24">
        <f t="shared" si="17"/>
        <v>0</v>
      </c>
      <c r="Z17" s="24">
        <f t="shared" si="17"/>
        <v>0</v>
      </c>
      <c r="AA17" s="24">
        <f t="shared" si="17"/>
        <v>0</v>
      </c>
      <c r="AB17" s="24">
        <f>U17-AA17</f>
        <v>6290453.2022693027</v>
      </c>
      <c r="AC17" s="26">
        <f ca="1">AB17/Table2428308910131415[[#This Row],[Unit Sum]]</f>
        <v>564.31804093202675</v>
      </c>
      <c r="AD17" s="27">
        <f>SUM(AD7:AD8)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83</v>
      </c>
      <c r="C21" s="97"/>
      <c r="D21" s="98">
        <v>45886</v>
      </c>
      <c r="E21" s="99" t="s">
        <v>19</v>
      </c>
      <c r="F21" s="59">
        <v>11147</v>
      </c>
      <c r="G21" s="59"/>
      <c r="H21" s="59">
        <v>5302113.28</v>
      </c>
      <c r="I21" s="59"/>
      <c r="J21" s="59"/>
      <c r="K21" s="59"/>
      <c r="L21" s="59"/>
      <c r="M21" s="59">
        <v>5302113.28</v>
      </c>
      <c r="N21" s="59">
        <v>11147</v>
      </c>
      <c r="O21" s="59">
        <v>475.65383331838166</v>
      </c>
      <c r="P21" s="59"/>
      <c r="Q21" s="59"/>
      <c r="R21" s="59">
        <v>1701.37</v>
      </c>
      <c r="S21" s="59">
        <v>25</v>
      </c>
      <c r="T21" s="59">
        <v>1726.37</v>
      </c>
      <c r="U21" s="59">
        <v>6290453.2022693027</v>
      </c>
      <c r="V21" s="59"/>
      <c r="W21" s="59"/>
      <c r="X21" s="59"/>
      <c r="Y21" s="59"/>
      <c r="Z21" s="59"/>
      <c r="AA21" s="59"/>
      <c r="AB21" s="59">
        <v>6290453.2022693027</v>
      </c>
      <c r="AC21" s="59">
        <v>564.31804093202675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EB82C5-2E39-45EA-A115-78D9C033B3BE}">
          <x14:formula1>
            <xm:f>VALIDATION!$A$2:$A$7</xm:f>
          </x14:formula1>
          <xm:sqref>E7:E16 E21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23CB-D916-4AA6-9089-A7DFBB1C5638}">
  <dimension ref="A1:AE22"/>
  <sheetViews>
    <sheetView view="pageBreakPreview" topLeftCell="A3" zoomScaleNormal="100" zoomScaleSheetLayoutView="100" workbookViewId="0">
      <selection activeCell="AD20" sqref="A20:AD21"/>
    </sheetView>
  </sheetViews>
  <sheetFormatPr defaultRowHeight="15" x14ac:dyDescent="0.25"/>
  <cols>
    <col min="1" max="1" width="6" customWidth="1"/>
    <col min="2" max="2" width="6.28515625" customWidth="1"/>
    <col min="3" max="3" width="17.140625" bestFit="1" customWidth="1"/>
    <col min="4" max="4" width="10.28515625" bestFit="1" customWidth="1"/>
    <col min="6" max="6" width="11.42578125" bestFit="1" customWidth="1"/>
    <col min="7" max="7" width="9.28515625" bestFit="1" customWidth="1"/>
    <col min="8" max="8" width="15.5703125" bestFit="1" customWidth="1"/>
    <col min="9" max="9" width="11" bestFit="1" customWidth="1"/>
    <col min="10" max="10" width="9.140625" bestFit="1" customWidth="1"/>
    <col min="11" max="12" width="15.42578125" bestFit="1" customWidth="1"/>
    <col min="13" max="13" width="14.5703125" bestFit="1" customWidth="1"/>
    <col min="14" max="15" width="9.42578125" bestFit="1" customWidth="1"/>
    <col min="16" max="16" width="13.42578125" bestFit="1" customWidth="1"/>
    <col min="17" max="17" width="1.42578125" customWidth="1"/>
    <col min="18" max="18" width="9.5703125" bestFit="1" customWidth="1"/>
    <col min="19" max="19" width="7.28515625" customWidth="1"/>
    <col min="20" max="20" width="9.140625" bestFit="1" customWidth="1"/>
    <col min="21" max="21" width="15.140625" bestFit="1" customWidth="1"/>
    <col min="22" max="22" width="12" bestFit="1" customWidth="1"/>
    <col min="23" max="23" width="7.7109375" customWidth="1"/>
    <col min="24" max="24" width="12" bestFit="1" customWidth="1"/>
    <col min="25" max="25" width="12.5703125" customWidth="1"/>
    <col min="26" max="26" width="15.5703125" bestFit="1" customWidth="1"/>
    <col min="27" max="27" width="16.140625" customWidth="1"/>
    <col min="28" max="28" width="16.28515625" bestFit="1" customWidth="1"/>
    <col min="29" max="29" width="11.42578125" customWidth="1"/>
    <col min="30" max="30" width="15.1406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85</v>
      </c>
      <c r="C7" s="6"/>
      <c r="D7" s="7">
        <v>45855</v>
      </c>
      <c r="E7" s="8" t="s">
        <v>19</v>
      </c>
      <c r="F7" s="9">
        <v>7577</v>
      </c>
      <c r="G7" s="9">
        <v>640.57000000000005</v>
      </c>
      <c r="H7" s="9">
        <f>Table242830891013141516[[#This Row],[Purchase QTY]]*Table242830891013141516[[#This Row],[PPPU]]</f>
        <v>4853598.8900000006</v>
      </c>
      <c r="I7" s="9"/>
      <c r="J7" s="9"/>
      <c r="K7" s="9"/>
      <c r="L7" s="9"/>
      <c r="M7" s="9">
        <f>Table242830891013141516[[#This Row],[Total Purchase Amount]]</f>
        <v>4853598.8900000006</v>
      </c>
      <c r="N7" s="9">
        <f>IF(Table242830891013141516[[#This Row],[Txn Type]]="opening",Table242830891013141516[[#This Row],[Purchase QTY]],"Error")</f>
        <v>7577</v>
      </c>
      <c r="O7" s="42">
        <f>IFERROR(Table242830891013141516[[#This Row],[TC AP NFRS]]/Table242830891013141516[[#This Row],[Unit Sum]],0)</f>
        <v>640.57000000000005</v>
      </c>
      <c r="P7" s="10">
        <f>Table242830891013141516[[#This Row],[Sales Amt]]-Table242830891013141516[[#This Row],[Principal Cost As per  NFRS (In case of Sales)]]</f>
        <v>0</v>
      </c>
      <c r="R7" s="20"/>
      <c r="S7" s="20"/>
      <c r="T7" s="20"/>
      <c r="U7" s="20">
        <f>AB7</f>
        <v>5094810.5234939763</v>
      </c>
      <c r="V7" s="20"/>
      <c r="W7" s="20"/>
      <c r="X7" s="20"/>
      <c r="Y7" s="46"/>
      <c r="Z7" s="46"/>
      <c r="AA7" s="46"/>
      <c r="AB7" s="46">
        <f>F7*AC7</f>
        <v>5094810.5234939763</v>
      </c>
      <c r="AC7" s="46">
        <v>672.40471472798947</v>
      </c>
      <c r="AD7" s="56"/>
    </row>
    <row r="8" spans="1:31" ht="30" x14ac:dyDescent="0.25">
      <c r="A8" s="5">
        <f>A7+1</f>
        <v>2</v>
      </c>
      <c r="B8" s="6" t="s">
        <v>85</v>
      </c>
      <c r="C8" s="6" t="s">
        <v>86</v>
      </c>
      <c r="D8" s="7">
        <v>45855</v>
      </c>
      <c r="E8" s="8" t="s">
        <v>55</v>
      </c>
      <c r="F8" s="9">
        <v>200</v>
      </c>
      <c r="G8" s="9">
        <f>Table242830891013141516[[#This Row],[Total Purchase Amount]]/Table242830891013141516[[#This Row],[Purchase QTY]]</f>
        <v>660.1</v>
      </c>
      <c r="H8" s="9">
        <v>132020</v>
      </c>
      <c r="I8" s="9">
        <v>0</v>
      </c>
      <c r="J8" s="9">
        <f>IFERROR(Table242830891013141516[[#This Row],[Sales Amt]]/Table242830891013141516[[#This Row],[Sales Qty]],0)</f>
        <v>0</v>
      </c>
      <c r="K8" s="9">
        <v>0</v>
      </c>
      <c r="L8" s="9">
        <f>Table242830891013141516[[#This Row],[Sales Qty]]*O7</f>
        <v>0</v>
      </c>
      <c r="M8" s="9">
        <f>M7+Table242830891013141516[[#This Row],[Total Purchase Amount]]-Table242830891013141516[[#This Row],[Principal Cost As per  NFRS (In case of Sales)]]</f>
        <v>4985618.8900000006</v>
      </c>
      <c r="N8" s="9">
        <f>N7+Table242830891013141516[[#This Row],[Purchase QTY]]-Table242830891013141516[[#This Row],[Sales Qty]]</f>
        <v>7777</v>
      </c>
      <c r="O8" s="42">
        <f>IFERROR(Table242830891013141516[[#This Row],[TC AP NFRS]]/Table242830891013141516[[#This Row],[Unit Sum]],0)</f>
        <v>641.07225022502257</v>
      </c>
      <c r="P8" s="10">
        <f>Table242830891013141516[[#This Row],[Sales Amt]]-Table242830891013141516[[#This Row],[Principal Cost As per  NFRS (In case of Sales)]]</f>
        <v>0</v>
      </c>
      <c r="R8" s="20">
        <f>19.8+435.66</f>
        <v>455.46000000000004</v>
      </c>
      <c r="S8" s="20">
        <v>25</v>
      </c>
      <c r="T8" s="20">
        <f>R8+S8</f>
        <v>480.46000000000004</v>
      </c>
      <c r="U8" s="20">
        <f>H8+T8</f>
        <v>132500.46</v>
      </c>
      <c r="V8" s="20">
        <v>0</v>
      </c>
      <c r="W8" s="20">
        <v>0</v>
      </c>
      <c r="X8" s="55">
        <f t="shared" ref="X8:X16" si="0">V8+W8</f>
        <v>0</v>
      </c>
      <c r="Y8" s="20">
        <v>0</v>
      </c>
      <c r="Z8" s="20">
        <f t="shared" ref="Z8:Z16" si="1">K8-X8-Y8</f>
        <v>0</v>
      </c>
      <c r="AA8" s="20">
        <f t="shared" ref="AA8:AA16" si="2">I8*AC7</f>
        <v>0</v>
      </c>
      <c r="AB8" s="20">
        <f t="shared" ref="AB8:AB16" si="3">AB7+U8-AA8</f>
        <v>5227310.9834939763</v>
      </c>
      <c r="AC8" s="20">
        <f t="shared" ref="AC8:AC17" si="4">IFERROR(AB8/N8,0)</f>
        <v>672.15005574051384</v>
      </c>
      <c r="AD8" s="56">
        <f t="shared" ref="AD8:AD16" si="5">Z8-AA8+Y8</f>
        <v>0</v>
      </c>
    </row>
    <row r="9" spans="1:31" ht="30" x14ac:dyDescent="0.25">
      <c r="A9" s="5">
        <f t="shared" ref="A9:A16" si="6">A8+1</f>
        <v>3</v>
      </c>
      <c r="B9" s="6" t="s">
        <v>85</v>
      </c>
      <c r="C9" s="6" t="s">
        <v>103</v>
      </c>
      <c r="D9" s="7">
        <v>45860</v>
      </c>
      <c r="E9" s="8" t="s">
        <v>21</v>
      </c>
      <c r="F9" s="9">
        <v>0</v>
      </c>
      <c r="G9" s="9">
        <f>IF(Table242830891013141516[[#This Row],[SPPU]]&gt;=0,0,Table242830891013141516[[#This Row],[Total Purchase Amount]]/Table242830891013141516[[#This Row],[Purchase QTY]])</f>
        <v>0</v>
      </c>
      <c r="H9" s="9">
        <v>0</v>
      </c>
      <c r="I9" s="9">
        <v>5419</v>
      </c>
      <c r="J9" s="9">
        <f>IFERROR(Table242830891013141516[[#This Row],[Sales Amt]]/Table242830891013141516[[#This Row],[Sales Qty]],0)</f>
        <v>679.43926923786671</v>
      </c>
      <c r="K9" s="9">
        <v>3681881.4</v>
      </c>
      <c r="L9" s="9">
        <f>Table242830891013141516[[#This Row],[Sales Qty]]*O8</f>
        <v>3473970.5239693974</v>
      </c>
      <c r="M9" s="9">
        <f>M8+Table242830891013141516[[#This Row],[Total Purchase Amount]]-Table242830891013141516[[#This Row],[Principal Cost As per  NFRS (In case of Sales)]]</f>
        <v>1511648.3660306032</v>
      </c>
      <c r="N9" s="9">
        <f>N8+Table242830891013141516[[#This Row],[Purchase QTY]]-Table242830891013141516[[#This Row],[Sales Qty]]</f>
        <v>2358</v>
      </c>
      <c r="O9" s="42">
        <f>IFERROR(Table242830891013141516[[#This Row],[TC AP NFRS]]/Table242830891013141516[[#This Row],[Unit Sum]],0)</f>
        <v>641.07225022502257</v>
      </c>
      <c r="P9" s="10">
        <f>Table242830891013141516[[#This Row],[Sales Amt]]-Table242830891013141516[[#This Row],[Principal Cost As per  NFRS (In case of Sales)]]</f>
        <v>207910.87603060249</v>
      </c>
      <c r="R9" s="20"/>
      <c r="S9" s="20"/>
      <c r="T9" s="20"/>
      <c r="U9" s="20"/>
      <c r="V9" s="20">
        <f>552.3+11747.67</f>
        <v>12299.97</v>
      </c>
      <c r="W9" s="20">
        <v>25</v>
      </c>
      <c r="X9" s="20">
        <f t="shared" si="0"/>
        <v>12324.97</v>
      </c>
      <c r="Y9" s="20">
        <v>2717.56</v>
      </c>
      <c r="Z9" s="20">
        <f t="shared" si="1"/>
        <v>3666838.8699999996</v>
      </c>
      <c r="AA9" s="20">
        <f t="shared" si="2"/>
        <v>3642381.1520578447</v>
      </c>
      <c r="AB9" s="20">
        <f t="shared" si="3"/>
        <v>1584929.8314361316</v>
      </c>
      <c r="AC9" s="20">
        <f t="shared" si="4"/>
        <v>672.15005574051384</v>
      </c>
      <c r="AD9" s="56">
        <f t="shared" si="5"/>
        <v>27175.277942154968</v>
      </c>
    </row>
    <row r="10" spans="1:31" ht="30" x14ac:dyDescent="0.25">
      <c r="A10" s="5">
        <f t="shared" si="6"/>
        <v>4</v>
      </c>
      <c r="B10" s="6" t="s">
        <v>85</v>
      </c>
      <c r="C10" s="6" t="s">
        <v>110</v>
      </c>
      <c r="D10" s="7">
        <v>45861</v>
      </c>
      <c r="E10" s="8" t="s">
        <v>21</v>
      </c>
      <c r="F10" s="9"/>
      <c r="G10" s="9">
        <f>IF(Table242830891013141516[[#This Row],[SPPU]]&gt;=0,0,Table242830891013141516[[#This Row],[Total Purchase Amount]]/Table242830891013141516[[#This Row],[Purchase QTY]])</f>
        <v>0</v>
      </c>
      <c r="H10" s="9">
        <v>0</v>
      </c>
      <c r="I10" s="9">
        <v>2358</v>
      </c>
      <c r="J10" s="9">
        <f>IFERROR(Table242830891013141516[[#This Row],[Sales Amt]]/Table242830891013141516[[#This Row],[Sales Qty]],0)</f>
        <v>687.67854113655642</v>
      </c>
      <c r="K10" s="9">
        <v>1621546</v>
      </c>
      <c r="L10" s="9">
        <f>Table242830891013141516[[#This Row],[Sales Qty]]*O9</f>
        <v>1511648.3660306032</v>
      </c>
      <c r="M10" s="9">
        <f>M9+Table242830891013141516[[#This Row],[Total Purchase Amount]]-Table242830891013141516[[#This Row],[Principal Cost As per  NFRS (In case of Sales)]]</f>
        <v>0</v>
      </c>
      <c r="N10" s="9">
        <f>N9+Table242830891013141516[[#This Row],[Purchase QTY]]-Table242830891013141516[[#This Row],[Sales Qty]]</f>
        <v>0</v>
      </c>
      <c r="O10" s="42">
        <f>IFERROR(Table242830891013141516[[#This Row],[TC AP NFRS]]/Table242830891013141516[[#This Row],[Unit Sum]],0)</f>
        <v>0</v>
      </c>
      <c r="P10" s="10">
        <f>Table242830891013141516[[#This Row],[Sales Amt]]-Table242830891013141516[[#This Row],[Principal Cost As per  NFRS (In case of Sales)]]</f>
        <v>109897.63396939682</v>
      </c>
      <c r="R10" s="17">
        <v>0</v>
      </c>
      <c r="S10" s="17"/>
      <c r="T10" s="20">
        <f t="shared" ref="T10:T16" si="7">R10+S10</f>
        <v>0</v>
      </c>
      <c r="U10" s="20">
        <f t="shared" ref="U10:U16" si="8">H10+T10</f>
        <v>0</v>
      </c>
      <c r="V10" s="20">
        <v>5623.28</v>
      </c>
      <c r="W10" s="20">
        <v>25</v>
      </c>
      <c r="X10" s="55">
        <f t="shared" si="0"/>
        <v>5648.28</v>
      </c>
      <c r="Y10" s="20">
        <v>3096.81</v>
      </c>
      <c r="Z10" s="20">
        <f t="shared" si="1"/>
        <v>1612800.91</v>
      </c>
      <c r="AA10" s="20">
        <f t="shared" si="2"/>
        <v>1584929.8314361316</v>
      </c>
      <c r="AB10" s="20">
        <f t="shared" si="3"/>
        <v>0</v>
      </c>
      <c r="AC10" s="20">
        <f t="shared" si="4"/>
        <v>0</v>
      </c>
      <c r="AD10" s="56">
        <f t="shared" si="5"/>
        <v>30967.888563868302</v>
      </c>
    </row>
    <row r="11" spans="1:31" hidden="1" x14ac:dyDescent="0.25">
      <c r="A11" s="5">
        <f t="shared" si="6"/>
        <v>5</v>
      </c>
      <c r="B11" s="6"/>
      <c r="C11" s="6"/>
      <c r="D11" s="7"/>
      <c r="E11" s="8"/>
      <c r="F11" s="9"/>
      <c r="G11" s="9">
        <f>IF(Table242830891013141516[[#This Row],[SPPU]]&gt;=0,0,Table242830891013141516[[#This Row],[Total Purchase Amount]]/Table242830891013141516[[#This Row],[Purchase QTY]])</f>
        <v>0</v>
      </c>
      <c r="H11" s="9"/>
      <c r="I11" s="9">
        <v>0</v>
      </c>
      <c r="J11" s="9">
        <f>IFERROR(Table242830891013141516[[#This Row],[Sales Amt]]/Table242830891013141516[[#This Row],[Sales Qty]],0)</f>
        <v>0</v>
      </c>
      <c r="K11" s="9">
        <v>0</v>
      </c>
      <c r="L11" s="9">
        <f>Table242830891013141516[[#This Row],[Sales Qty]]*O10</f>
        <v>0</v>
      </c>
      <c r="M11" s="9">
        <f>M10+Table242830891013141516[[#This Row],[Total Purchase Amount]]-Table242830891013141516[[#This Row],[Principal Cost As per  NFRS (In case of Sales)]]</f>
        <v>0</v>
      </c>
      <c r="N11" s="9">
        <f>N10+Table242830891013141516[[#This Row],[Purchase QTY]]-Table242830891013141516[[#This Row],[Sales Qty]]</f>
        <v>0</v>
      </c>
      <c r="O11" s="42">
        <f>IFERROR(Table242830891013141516[[#This Row],[TC AP NFRS]]/Table242830891013141516[[#This Row],[Unit Sum]],0)</f>
        <v>0</v>
      </c>
      <c r="P11" s="10">
        <f>Table242830891013141516[[#This Row],[Sales Amt]]-Table242830891013141516[[#This Row],[Principal Cost As per  NFRS (In case of Sales)]]</f>
        <v>0</v>
      </c>
      <c r="R11" s="17">
        <v>0</v>
      </c>
      <c r="S11" s="17"/>
      <c r="T11" s="20">
        <f t="shared" si="7"/>
        <v>0</v>
      </c>
      <c r="U11" s="20">
        <f t="shared" si="8"/>
        <v>0</v>
      </c>
      <c r="V11" s="20">
        <v>0</v>
      </c>
      <c r="W11" s="20">
        <v>0</v>
      </c>
      <c r="X11" s="55">
        <f t="shared" si="0"/>
        <v>0</v>
      </c>
      <c r="Y11" s="20">
        <v>0</v>
      </c>
      <c r="Z11" s="20">
        <f t="shared" si="1"/>
        <v>0</v>
      </c>
      <c r="AA11" s="20">
        <f t="shared" si="2"/>
        <v>0</v>
      </c>
      <c r="AB11" s="20">
        <f t="shared" si="3"/>
        <v>0</v>
      </c>
      <c r="AC11" s="20">
        <f t="shared" si="4"/>
        <v>0</v>
      </c>
      <c r="AD11" s="56">
        <f t="shared" si="5"/>
        <v>0</v>
      </c>
    </row>
    <row r="12" spans="1:31" hidden="1" x14ac:dyDescent="0.25">
      <c r="A12" s="5">
        <f t="shared" si="6"/>
        <v>6</v>
      </c>
      <c r="B12" s="6"/>
      <c r="C12" s="6"/>
      <c r="D12" s="7"/>
      <c r="E12" s="8"/>
      <c r="F12" s="9">
        <v>0</v>
      </c>
      <c r="G12" s="9" t="e">
        <f>Table242830891013141516[[#This Row],[Total Purchase Amount]]/Table242830891013141516[[#This Row],[Purchase QTY]]</f>
        <v>#DIV/0!</v>
      </c>
      <c r="H12" s="9">
        <v>0</v>
      </c>
      <c r="I12" s="9">
        <v>0</v>
      </c>
      <c r="J12" s="9">
        <f ca="1">IFERROR(Table242830891013141516[[#This Row],[Sales Amt]]/Table242830891013141516[[#This Row],[Sales Qty]],0)</f>
        <v>0</v>
      </c>
      <c r="K12" s="9">
        <f ca="1">Table242830891013141516[[#This Row],[Sales Qty]]*Table242830891013141516[[#This Row],[SPPU]]</f>
        <v>0</v>
      </c>
      <c r="L12" s="9">
        <f>Table242830891013141516[[#This Row],[Sales Qty]]*O11</f>
        <v>0</v>
      </c>
      <c r="M12" s="9">
        <f>M11+Table242830891013141516[[#This Row],[Total Purchase Amount]]-Table242830891013141516[[#This Row],[Principal Cost As per  NFRS (In case of Sales)]]</f>
        <v>0</v>
      </c>
      <c r="N12" s="9">
        <f>N11+Table242830891013141516[[#This Row],[Purchase QTY]]-Table242830891013141516[[#This Row],[Sales Qty]]</f>
        <v>0</v>
      </c>
      <c r="O12" s="42">
        <f>IFERROR(Table242830891013141516[[#This Row],[TC AP NFRS]]/Table242830891013141516[[#This Row],[Unit Sum]],0)</f>
        <v>0</v>
      </c>
      <c r="P12" s="10">
        <f ca="1">Table242830891013141516[[#This Row],[Sales Amt]]-Table242830891013141516[[#This Row],[Principal Cost As per  NFRS (In case of Sales)]]</f>
        <v>0</v>
      </c>
      <c r="R12" s="17">
        <v>0</v>
      </c>
      <c r="S12" s="17"/>
      <c r="T12" s="20">
        <f t="shared" si="7"/>
        <v>0</v>
      </c>
      <c r="U12" s="20">
        <f t="shared" si="8"/>
        <v>0</v>
      </c>
      <c r="V12" s="20">
        <v>0</v>
      </c>
      <c r="W12" s="20">
        <v>0</v>
      </c>
      <c r="X12" s="55">
        <f t="shared" si="0"/>
        <v>0</v>
      </c>
      <c r="Y12" s="20">
        <v>0</v>
      </c>
      <c r="Z12" s="20">
        <f t="shared" ca="1" si="1"/>
        <v>0</v>
      </c>
      <c r="AA12" s="20">
        <f t="shared" si="2"/>
        <v>0</v>
      </c>
      <c r="AB12" s="20">
        <f t="shared" si="3"/>
        <v>0</v>
      </c>
      <c r="AC12" s="20">
        <f t="shared" si="4"/>
        <v>0</v>
      </c>
      <c r="AD12" s="56">
        <f t="shared" ca="1" si="5"/>
        <v>0</v>
      </c>
    </row>
    <row r="13" spans="1:31" hidden="1" x14ac:dyDescent="0.25">
      <c r="A13" s="5">
        <f t="shared" si="6"/>
        <v>7</v>
      </c>
      <c r="B13" s="6"/>
      <c r="C13" s="6"/>
      <c r="D13" s="7"/>
      <c r="E13" s="8"/>
      <c r="F13" s="9">
        <v>0</v>
      </c>
      <c r="G13" s="9" t="e">
        <f>Table242830891013141516[[#This Row],[Total Purchase Amount]]/Table242830891013141516[[#This Row],[Purchase QTY]]</f>
        <v>#DIV/0!</v>
      </c>
      <c r="H13" s="9">
        <v>0</v>
      </c>
      <c r="I13" s="9">
        <v>0</v>
      </c>
      <c r="J13" s="9">
        <f ca="1">IFERROR(Table242830891013141516[[#This Row],[Sales Amt]]/Table242830891013141516[[#This Row],[Sales Qty]],0)</f>
        <v>0</v>
      </c>
      <c r="K13" s="9">
        <f ca="1">Table242830891013141516[[#This Row],[Sales Qty]]*Table242830891013141516[[#This Row],[SPPU]]</f>
        <v>0</v>
      </c>
      <c r="L13" s="9">
        <f>Table242830891013141516[[#This Row],[Sales Qty]]*O12</f>
        <v>0</v>
      </c>
      <c r="M13" s="9">
        <f>M12+Table242830891013141516[[#This Row],[Total Purchase Amount]]-Table242830891013141516[[#This Row],[Principal Cost As per  NFRS (In case of Sales)]]</f>
        <v>0</v>
      </c>
      <c r="N13" s="9">
        <f>N12+Table242830891013141516[[#This Row],[Purchase QTY]]-Table242830891013141516[[#This Row],[Sales Qty]]</f>
        <v>0</v>
      </c>
      <c r="O13" s="42">
        <f>IFERROR(Table242830891013141516[[#This Row],[TC AP NFRS]]/Table242830891013141516[[#This Row],[Unit Sum]],0)</f>
        <v>0</v>
      </c>
      <c r="P13" s="10">
        <f ca="1">Table242830891013141516[[#This Row],[Sales Amt]]-Table242830891013141516[[#This Row],[Principal Cost As per  NFRS (In case of Sales)]]</f>
        <v>0</v>
      </c>
      <c r="R13" s="17">
        <v>0</v>
      </c>
      <c r="S13" s="17"/>
      <c r="T13" s="20">
        <f t="shared" si="7"/>
        <v>0</v>
      </c>
      <c r="U13" s="20">
        <f t="shared" si="8"/>
        <v>0</v>
      </c>
      <c r="V13" s="20">
        <v>0</v>
      </c>
      <c r="W13" s="20">
        <v>0</v>
      </c>
      <c r="X13" s="55">
        <f t="shared" si="0"/>
        <v>0</v>
      </c>
      <c r="Y13" s="20">
        <v>0</v>
      </c>
      <c r="Z13" s="20">
        <f t="shared" ca="1" si="1"/>
        <v>0</v>
      </c>
      <c r="AA13" s="20">
        <f t="shared" si="2"/>
        <v>0</v>
      </c>
      <c r="AB13" s="20">
        <f t="shared" si="3"/>
        <v>0</v>
      </c>
      <c r="AC13" s="20">
        <f t="shared" si="4"/>
        <v>0</v>
      </c>
      <c r="AD13" s="56">
        <f t="shared" ca="1" si="5"/>
        <v>0</v>
      </c>
    </row>
    <row r="14" spans="1:31" hidden="1" x14ac:dyDescent="0.25">
      <c r="A14" s="5">
        <f t="shared" si="6"/>
        <v>8</v>
      </c>
      <c r="B14" s="6"/>
      <c r="C14" s="6"/>
      <c r="D14" s="7"/>
      <c r="E14" s="8"/>
      <c r="F14" s="9"/>
      <c r="G14" s="9">
        <f>IF(Table242830891013141516[[#This Row],[SPPU]]&gt;=0,0,Table242830891013141516[[#This Row],[Total Purchase Amount]]/Table242830891013141516[[#This Row],[Purchase QTY]])</f>
        <v>0</v>
      </c>
      <c r="H14" s="9"/>
      <c r="I14" s="9">
        <v>0</v>
      </c>
      <c r="J14" s="9">
        <f>IFERROR(Table242830891013141516[[#This Row],[Sales Amt]]/Table242830891013141516[[#This Row],[Sales Qty]],0)</f>
        <v>0</v>
      </c>
      <c r="K14" s="9">
        <v>0</v>
      </c>
      <c r="L14" s="9">
        <f>Table242830891013141516[[#This Row],[Sales Qty]]*O12</f>
        <v>0</v>
      </c>
      <c r="M14" s="9">
        <f>M13+Table242830891013141516[[#This Row],[Total Purchase Amount]]-Table242830891013141516[[#This Row],[Principal Cost As per  NFRS (In case of Sales)]]</f>
        <v>0</v>
      </c>
      <c r="N14" s="9">
        <f>N13+Table242830891013141516[[#This Row],[Purchase QTY]]-Table242830891013141516[[#This Row],[Sales Qty]]</f>
        <v>0</v>
      </c>
      <c r="O14" s="42">
        <f>IFERROR(Table242830891013141516[[#This Row],[TC AP NFRS]]/Table242830891013141516[[#This Row],[Unit Sum]],0)</f>
        <v>0</v>
      </c>
      <c r="P14" s="10">
        <f>Table242830891013141516[[#This Row],[Sales Amt]]-Table242830891013141516[[#This Row],[Principal Cost As per  NFRS (In case of Sales)]]</f>
        <v>0</v>
      </c>
      <c r="R14" s="17">
        <v>0</v>
      </c>
      <c r="S14" s="17"/>
      <c r="T14" s="20">
        <f t="shared" si="7"/>
        <v>0</v>
      </c>
      <c r="U14" s="20">
        <f t="shared" si="8"/>
        <v>0</v>
      </c>
      <c r="V14" s="20">
        <v>0</v>
      </c>
      <c r="W14" s="20">
        <v>0</v>
      </c>
      <c r="X14" s="55">
        <f t="shared" si="0"/>
        <v>0</v>
      </c>
      <c r="Y14" s="20">
        <v>0</v>
      </c>
      <c r="Z14" s="20">
        <f t="shared" si="1"/>
        <v>0</v>
      </c>
      <c r="AA14" s="20">
        <f t="shared" si="2"/>
        <v>0</v>
      </c>
      <c r="AB14" s="20">
        <f t="shared" si="3"/>
        <v>0</v>
      </c>
      <c r="AC14" s="20">
        <f t="shared" si="4"/>
        <v>0</v>
      </c>
      <c r="AD14" s="56">
        <f t="shared" si="5"/>
        <v>0</v>
      </c>
    </row>
    <row r="15" spans="1:31" hidden="1" x14ac:dyDescent="0.25">
      <c r="A15" s="5">
        <f t="shared" si="6"/>
        <v>9</v>
      </c>
      <c r="B15" s="6"/>
      <c r="C15" s="6"/>
      <c r="D15" s="7"/>
      <c r="E15" s="8"/>
      <c r="F15" s="9"/>
      <c r="G15" s="9">
        <f>IF(Table242830891013141516[[#This Row],[SPPU]]&gt;=0,0,Table242830891013141516[[#This Row],[Total Purchase Amount]]/Table242830891013141516[[#This Row],[Purchase QTY]])</f>
        <v>0</v>
      </c>
      <c r="H15" s="9"/>
      <c r="I15" s="9">
        <v>0</v>
      </c>
      <c r="J15" s="9">
        <f>IFERROR(Table242830891013141516[[#This Row],[Sales Amt]]/Table242830891013141516[[#This Row],[Sales Qty]],0)</f>
        <v>0</v>
      </c>
      <c r="K15" s="9">
        <v>0</v>
      </c>
      <c r="L15" s="9">
        <f>Table242830891013141516[[#This Row],[Sales Qty]]*O14</f>
        <v>0</v>
      </c>
      <c r="M15" s="9">
        <f>M14+Table242830891013141516[[#This Row],[Total Purchase Amount]]-Table242830891013141516[[#This Row],[Principal Cost As per  NFRS (In case of Sales)]]</f>
        <v>0</v>
      </c>
      <c r="N15" s="9">
        <f>N14+Table242830891013141516[[#This Row],[Purchase QTY]]-Table242830891013141516[[#This Row],[Sales Qty]]</f>
        <v>0</v>
      </c>
      <c r="O15" s="42">
        <f>IFERROR(Table242830891013141516[[#This Row],[TC AP NFRS]]/Table242830891013141516[[#This Row],[Unit Sum]],0)</f>
        <v>0</v>
      </c>
      <c r="P15" s="10">
        <f>Table242830891013141516[[#This Row],[Sales Amt]]-Table242830891013141516[[#This Row],[Principal Cost As per  NFRS (In case of Sales)]]</f>
        <v>0</v>
      </c>
      <c r="R15" s="17">
        <v>0</v>
      </c>
      <c r="S15" s="17"/>
      <c r="T15" s="20">
        <f t="shared" si="7"/>
        <v>0</v>
      </c>
      <c r="U15" s="20">
        <f t="shared" si="8"/>
        <v>0</v>
      </c>
      <c r="V15" s="20">
        <v>0</v>
      </c>
      <c r="W15" s="20">
        <v>0</v>
      </c>
      <c r="X15" s="55">
        <f t="shared" si="0"/>
        <v>0</v>
      </c>
      <c r="Y15" s="20">
        <v>0</v>
      </c>
      <c r="Z15" s="20">
        <f t="shared" si="1"/>
        <v>0</v>
      </c>
      <c r="AA15" s="20">
        <f t="shared" si="2"/>
        <v>0</v>
      </c>
      <c r="AB15" s="20">
        <f t="shared" si="3"/>
        <v>0</v>
      </c>
      <c r="AC15" s="20">
        <f t="shared" si="4"/>
        <v>0</v>
      </c>
      <c r="AD15" s="56">
        <f t="shared" si="5"/>
        <v>0</v>
      </c>
    </row>
    <row r="16" spans="1:31" hidden="1" x14ac:dyDescent="0.25">
      <c r="A16" s="5">
        <f t="shared" si="6"/>
        <v>10</v>
      </c>
      <c r="B16" s="6"/>
      <c r="C16" s="6"/>
      <c r="D16" s="7"/>
      <c r="E16" s="8"/>
      <c r="F16" s="9"/>
      <c r="G16" s="9">
        <f>IF(Table242830891013141516[[#This Row],[SPPU]]&gt;=0,0,Table242830891013141516[[#This Row],[Total Purchase Amount]]/Table242830891013141516[[#This Row],[Purchase QTY]])</f>
        <v>0</v>
      </c>
      <c r="H16" s="9"/>
      <c r="I16" s="9">
        <v>0</v>
      </c>
      <c r="J16" s="9">
        <f>IFERROR(Table242830891013141516[[#This Row],[Sales Amt]]/Table242830891013141516[[#This Row],[Sales Qty]],0)</f>
        <v>0</v>
      </c>
      <c r="K16" s="9">
        <v>0</v>
      </c>
      <c r="L16" s="9">
        <f>Table242830891013141516[[#This Row],[Sales Qty]]*O15</f>
        <v>0</v>
      </c>
      <c r="M16" s="9">
        <f>M15+Table242830891013141516[[#This Row],[Total Purchase Amount]]-Table242830891013141516[[#This Row],[Principal Cost As per  NFRS (In case of Sales)]]</f>
        <v>0</v>
      </c>
      <c r="N16" s="9">
        <f>N15+Table242830891013141516[[#This Row],[Purchase QTY]]-Table242830891013141516[[#This Row],[Sales Qty]]</f>
        <v>0</v>
      </c>
      <c r="O16" s="42">
        <f>IFERROR(Table242830891013141516[[#This Row],[TC AP NFRS]]/Table242830891013141516[[#This Row],[Unit Sum]],0)</f>
        <v>0</v>
      </c>
      <c r="P16" s="10">
        <f>Table242830891013141516[[#This Row],[Sales Amt]]-Table242830891013141516[[#This Row],[Principal Cost As per  NFRS (In case of Sales)]]</f>
        <v>0</v>
      </c>
      <c r="R16" s="17">
        <v>0</v>
      </c>
      <c r="S16" s="17"/>
      <c r="T16" s="20">
        <f t="shared" si="7"/>
        <v>0</v>
      </c>
      <c r="U16" s="20">
        <f t="shared" si="8"/>
        <v>0</v>
      </c>
      <c r="V16" s="20">
        <v>0</v>
      </c>
      <c r="W16" s="20">
        <v>0</v>
      </c>
      <c r="X16" s="55">
        <f t="shared" si="0"/>
        <v>0</v>
      </c>
      <c r="Y16" s="20">
        <v>0</v>
      </c>
      <c r="Z16" s="20">
        <f t="shared" si="1"/>
        <v>0</v>
      </c>
      <c r="AA16" s="20">
        <f t="shared" si="2"/>
        <v>0</v>
      </c>
      <c r="AB16" s="20">
        <f t="shared" si="3"/>
        <v>0</v>
      </c>
      <c r="AC16" s="20">
        <f t="shared" si="4"/>
        <v>0</v>
      </c>
      <c r="AD16" s="56">
        <f t="shared" si="5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7777</v>
      </c>
      <c r="G17" s="15"/>
      <c r="H17" s="15">
        <f ca="1">SUM(INDIRECT("h4:h"&amp;ROW()-1))</f>
        <v>4985618.8900000006</v>
      </c>
      <c r="I17" s="15">
        <f ca="1">SUM(INDIRECT("i4:i"&amp;ROW()-1))</f>
        <v>7777</v>
      </c>
      <c r="J17" s="15">
        <f ca="1">Table242830891013141516[[#This Row],[Sales Amt]]/Table242830891013141516[[#This Row],[Sales Qty]]</f>
        <v>681.93743088594579</v>
      </c>
      <c r="K17" s="15">
        <f>SUBTOTAL(109,K7:K16)</f>
        <v>5303427.4000000004</v>
      </c>
      <c r="L17" s="15">
        <f>SUBTOTAL(109,L7:L16)</f>
        <v>4985618.8900000006</v>
      </c>
      <c r="M17" s="15">
        <f ca="1">Table242830891013141516[[#This Row],[Total Purchase Amount]]-Table242830891013141516[[#This Row],[Principal Cost As per  NFRS (In case of Sales)]]</f>
        <v>0</v>
      </c>
      <c r="N17" s="15">
        <f ca="1">Table242830891013141516[[#This Row],[Purchase QTY]]-Table242830891013141516[[#This Row],[Sales Qty]]</f>
        <v>0</v>
      </c>
      <c r="O17" s="43">
        <f ca="1">IFERROR(Table242830891013141516[[#This Row],[TC AP NFRS]]/Table242830891013141516[[#This Row],[Unit Sum]],0)</f>
        <v>0</v>
      </c>
      <c r="P17" s="15">
        <f ca="1">SUM(INDIRECT("p4:p"&amp;ROW()-1))</f>
        <v>317808.50999999931</v>
      </c>
      <c r="R17" s="25">
        <f>SUM(R7:R10)</f>
        <v>455.46000000000004</v>
      </c>
      <c r="S17" s="25">
        <f t="shared" ref="S17:AA17" si="9">SUM(S7:S10)</f>
        <v>25</v>
      </c>
      <c r="T17" s="25">
        <f t="shared" si="9"/>
        <v>480.46000000000004</v>
      </c>
      <c r="U17" s="25">
        <f>SUM(U7:U10)</f>
        <v>5227310.9834939763</v>
      </c>
      <c r="V17" s="25">
        <f t="shared" si="9"/>
        <v>17923.25</v>
      </c>
      <c r="W17" s="25">
        <f t="shared" si="9"/>
        <v>50</v>
      </c>
      <c r="X17" s="25">
        <f t="shared" si="9"/>
        <v>17973.25</v>
      </c>
      <c r="Y17" s="25">
        <f t="shared" si="9"/>
        <v>5814.37</v>
      </c>
      <c r="Z17" s="25">
        <f t="shared" si="9"/>
        <v>5279639.7799999993</v>
      </c>
      <c r="AA17" s="25">
        <f t="shared" si="9"/>
        <v>5227310.9834939763</v>
      </c>
      <c r="AB17" s="25">
        <f>U17-AA17</f>
        <v>0</v>
      </c>
      <c r="AC17" s="25">
        <f t="shared" ca="1" si="4"/>
        <v>0</v>
      </c>
      <c r="AD17" s="54">
        <f ca="1">SUM(AD7:AD16)</f>
        <v>58143.16650602327</v>
      </c>
    </row>
    <row r="20" spans="1:30" x14ac:dyDescent="0.25">
      <c r="A20" t="s">
        <v>882</v>
      </c>
      <c r="R20" s="120" t="s">
        <v>20</v>
      </c>
      <c r="S20" s="121"/>
      <c r="T20" s="121"/>
      <c r="U20" s="50"/>
      <c r="V20" s="120" t="s">
        <v>67</v>
      </c>
      <c r="W20" s="121"/>
      <c r="X20" s="121"/>
      <c r="Y20" s="123" t="s">
        <v>13</v>
      </c>
      <c r="Z20" s="124" t="s">
        <v>10</v>
      </c>
      <c r="AA20" s="125" t="s">
        <v>66</v>
      </c>
      <c r="AB20" s="123" t="s">
        <v>15</v>
      </c>
      <c r="AC20" s="123" t="s">
        <v>18</v>
      </c>
      <c r="AD20" s="123" t="s">
        <v>12</v>
      </c>
    </row>
    <row r="21" spans="1:30" ht="75" x14ac:dyDescent="0.25">
      <c r="A21" s="1" t="s">
        <v>57</v>
      </c>
      <c r="B21" s="2" t="s">
        <v>0</v>
      </c>
      <c r="C21" s="2" t="s">
        <v>53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51</v>
      </c>
      <c r="I21" s="2" t="s">
        <v>6</v>
      </c>
      <c r="J21" s="16" t="s">
        <v>7</v>
      </c>
      <c r="K21" s="16" t="s">
        <v>8</v>
      </c>
      <c r="L21" s="2" t="s">
        <v>50</v>
      </c>
      <c r="M21" s="2" t="s">
        <v>14</v>
      </c>
      <c r="N21" s="2" t="s">
        <v>16</v>
      </c>
      <c r="O21" s="4" t="s">
        <v>17</v>
      </c>
      <c r="P21" s="3" t="s">
        <v>11</v>
      </c>
      <c r="R21" s="2" t="s">
        <v>65</v>
      </c>
      <c r="S21" s="2" t="s">
        <v>62</v>
      </c>
      <c r="T21" s="2" t="s">
        <v>5</v>
      </c>
      <c r="U21" s="2" t="s">
        <v>164</v>
      </c>
      <c r="V21" s="16" t="s">
        <v>64</v>
      </c>
      <c r="W21" s="16" t="s">
        <v>62</v>
      </c>
      <c r="X21" s="45" t="s">
        <v>9</v>
      </c>
      <c r="Y21" s="123"/>
      <c r="Z21" s="124"/>
      <c r="AA21" s="125"/>
      <c r="AB21" s="123"/>
      <c r="AC21" s="123"/>
      <c r="AD21" s="123"/>
    </row>
    <row r="22" spans="1:30" x14ac:dyDescent="0.25">
      <c r="A22" s="96">
        <v>1</v>
      </c>
      <c r="B22" s="97" t="s">
        <v>85</v>
      </c>
      <c r="C22" s="97"/>
      <c r="D22" s="98">
        <v>45886</v>
      </c>
      <c r="E22" s="99" t="s">
        <v>19</v>
      </c>
      <c r="F22" s="59">
        <v>7777</v>
      </c>
      <c r="G22" s="59"/>
      <c r="H22" s="59">
        <v>4985618.8900000006</v>
      </c>
      <c r="I22" s="59">
        <v>7777</v>
      </c>
      <c r="J22" s="59">
        <v>681.93743088594579</v>
      </c>
      <c r="K22" s="59">
        <v>5303427.4000000004</v>
      </c>
      <c r="L22" s="59">
        <v>4985618.8900000006</v>
      </c>
      <c r="M22" s="59">
        <v>0</v>
      </c>
      <c r="N22" s="59">
        <v>0</v>
      </c>
      <c r="O22" s="59">
        <v>0</v>
      </c>
      <c r="P22" s="59">
        <v>317808.50999999931</v>
      </c>
      <c r="Q22" s="59"/>
      <c r="R22" s="59">
        <v>455.46000000000004</v>
      </c>
      <c r="S22" s="59">
        <v>25</v>
      </c>
      <c r="T22" s="59">
        <v>480.46000000000004</v>
      </c>
      <c r="U22" s="59">
        <v>5227310.9834939763</v>
      </c>
      <c r="V22" s="59">
        <v>17923.25</v>
      </c>
      <c r="W22" s="59">
        <v>50</v>
      </c>
      <c r="X22" s="59">
        <v>17973.25</v>
      </c>
      <c r="Y22" s="59">
        <v>5814.37</v>
      </c>
      <c r="Z22" s="59">
        <v>5279639.7799999993</v>
      </c>
      <c r="AA22" s="59">
        <v>5227310.9834939763</v>
      </c>
      <c r="AB22" s="59">
        <v>0</v>
      </c>
      <c r="AC22" s="59">
        <v>0</v>
      </c>
      <c r="AD22" s="59">
        <v>58143.16650602327</v>
      </c>
    </row>
  </sheetData>
  <mergeCells count="16">
    <mergeCell ref="AB20:AB21"/>
    <mergeCell ref="AC20:AC21"/>
    <mergeCell ref="AD20:AD21"/>
    <mergeCell ref="R20:T20"/>
    <mergeCell ref="V20:X20"/>
    <mergeCell ref="Y20:Y21"/>
    <mergeCell ref="Z20:Z21"/>
    <mergeCell ref="AA20:AA21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F35BF1-FE0A-4FCF-B5EE-105E411EF561}">
          <x14:formula1>
            <xm:f>VALIDATION!$A$2:$A$7</xm:f>
          </x14:formula1>
          <xm:sqref>E7:E16 E22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547A-F2FC-4D64-99B2-E05FF277073C}">
  <dimension ref="A1:AE22"/>
  <sheetViews>
    <sheetView workbookViewId="0">
      <selection activeCell="AD20" sqref="A20:AD21"/>
    </sheetView>
  </sheetViews>
  <sheetFormatPr defaultRowHeight="15" x14ac:dyDescent="0.25"/>
  <cols>
    <col min="2" max="2" width="8.140625" bestFit="1" customWidth="1"/>
    <col min="3" max="3" width="18.5703125" customWidth="1"/>
    <col min="4" max="4" width="10.28515625" bestFit="1" customWidth="1"/>
    <col min="6" max="6" width="11.42578125" bestFit="1" customWidth="1"/>
    <col min="7" max="7" width="9.28515625" bestFit="1" customWidth="1"/>
    <col min="8" max="8" width="15.5703125" bestFit="1" customWidth="1"/>
    <col min="9" max="9" width="10.85546875" bestFit="1" customWidth="1"/>
    <col min="10" max="10" width="9.5703125" customWidth="1"/>
    <col min="11" max="11" width="12.42578125" bestFit="1" customWidth="1"/>
    <col min="12" max="12" width="13.5703125" bestFit="1" customWidth="1"/>
    <col min="13" max="13" width="15.140625" bestFit="1" customWidth="1"/>
    <col min="14" max="14" width="14.5703125" bestFit="1" customWidth="1"/>
    <col min="15" max="15" width="11.42578125" bestFit="1" customWidth="1"/>
    <col min="16" max="16" width="15.140625" bestFit="1" customWidth="1"/>
    <col min="17" max="17" width="13.85546875" bestFit="1" customWidth="1"/>
    <col min="18" max="18" width="11.42578125" bestFit="1" customWidth="1"/>
    <col min="20" max="20" width="13.140625" customWidth="1"/>
    <col min="21" max="21" width="15.5703125" bestFit="1" customWidth="1"/>
    <col min="22" max="22" width="10" bestFit="1" customWidth="1"/>
    <col min="23" max="24" width="11.42578125" bestFit="1" customWidth="1"/>
    <col min="25" max="25" width="8.42578125" bestFit="1" customWidth="1"/>
    <col min="26" max="26" width="12.42578125" bestFit="1" customWidth="1"/>
    <col min="27" max="27" width="16.140625" customWidth="1"/>
    <col min="28" max="28" width="15.5703125" bestFit="1" customWidth="1"/>
    <col min="29" max="29" width="11.42578125" customWidth="1"/>
    <col min="30" max="30" width="9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87</v>
      </c>
      <c r="C7" s="6"/>
      <c r="D7" s="7">
        <v>45855</v>
      </c>
      <c r="E7" s="8" t="s">
        <v>19</v>
      </c>
      <c r="F7" s="9">
        <v>2090</v>
      </c>
      <c r="G7" s="9">
        <v>889.23</v>
      </c>
      <c r="H7" s="9">
        <f>Table24283089101314151617[[#This Row],[Purchase QTY]]*Table24283089101314151617[[#This Row],[PPPU]]</f>
        <v>1858490.7</v>
      </c>
      <c r="I7" s="9"/>
      <c r="J7" s="9">
        <v>0</v>
      </c>
      <c r="K7" s="9"/>
      <c r="L7" s="9"/>
      <c r="M7" s="9">
        <f>Table24283089101314151617[[#This Row],[Total Purchase Amount]]</f>
        <v>1858490.7</v>
      </c>
      <c r="N7" s="9">
        <f>IF(Table24283089101314151617[[#This Row],[Txn Type]]="opening",Table24283089101314151617[[#This Row],[Purchase QTY]],"Error")</f>
        <v>2090</v>
      </c>
      <c r="O7" s="42">
        <f>IFERROR(Table24283089101314151617[[#This Row],[TC AP NFRS]]/Table24283089101314151617[[#This Row],[Unit Sum]],0)</f>
        <v>889.23</v>
      </c>
      <c r="P7" s="10">
        <f>Table24283089101314151617[[#This Row],[Sales Amt]]-Table24283089101314151617[[#This Row],[Principal Cost As per  NFRS (In case of Sales)]]</f>
        <v>0</v>
      </c>
      <c r="R7" s="17"/>
      <c r="S7" s="17"/>
      <c r="T7" s="20">
        <f>R7+S7</f>
        <v>0</v>
      </c>
      <c r="U7" s="20">
        <f>AB7</f>
        <v>2225850</v>
      </c>
      <c r="V7" s="20"/>
      <c r="W7" s="20"/>
      <c r="X7" s="20"/>
      <c r="Y7" s="46"/>
      <c r="Z7" s="46"/>
      <c r="AA7" s="46"/>
      <c r="AB7" s="46">
        <f>F7*AC7</f>
        <v>2225850</v>
      </c>
      <c r="AC7" s="46">
        <v>1065</v>
      </c>
      <c r="AD7" s="56"/>
    </row>
    <row r="8" spans="1:31" x14ac:dyDescent="0.25">
      <c r="A8" s="5">
        <f>A7+1</f>
        <v>2</v>
      </c>
      <c r="B8" s="6" t="s">
        <v>87</v>
      </c>
      <c r="C8" s="6" t="s">
        <v>88</v>
      </c>
      <c r="D8" s="7">
        <v>45855</v>
      </c>
      <c r="E8" s="8" t="s">
        <v>55</v>
      </c>
      <c r="F8" s="9">
        <v>200</v>
      </c>
      <c r="G8" s="9">
        <f>Table24283089101314151617[[#This Row],[Total Purchase Amount]]/Table24283089101314151617[[#This Row],[Purchase QTY]]</f>
        <v>916.2</v>
      </c>
      <c r="H8" s="9">
        <v>183240</v>
      </c>
      <c r="I8" s="9">
        <v>0</v>
      </c>
      <c r="J8" s="9">
        <f>IFERROR(Table24283089101314151617[[#This Row],[Sales Amt]]/Table24283089101314151617[[#This Row],[Sales Qty]],0)</f>
        <v>0</v>
      </c>
      <c r="K8" s="9">
        <v>0</v>
      </c>
      <c r="L8" s="9">
        <f>Table24283089101314151617[[#This Row],[Sales Qty]]*O7</f>
        <v>0</v>
      </c>
      <c r="M8" s="9">
        <f>M7+Table24283089101314151617[[#This Row],[Total Purchase Amount]]-Table24283089101314151617[[#This Row],[Principal Cost As per  NFRS (In case of Sales)]]</f>
        <v>2041730.7</v>
      </c>
      <c r="N8" s="9">
        <f>N7+Table24283089101314151617[[#This Row],[Purchase QTY]]-Table24283089101314151617[[#This Row],[Sales Qty]]</f>
        <v>2290</v>
      </c>
      <c r="O8" s="42">
        <f>IFERROR(Table24283089101314151617[[#This Row],[TC AP NFRS]]/Table24283089101314151617[[#This Row],[Unit Sum]],0)</f>
        <v>891.58545851528379</v>
      </c>
      <c r="P8" s="10">
        <f>Table24283089101314151617[[#This Row],[Sales Amt]]-Table24283089101314151617[[#This Row],[Principal Cost As per  NFRS (In case of Sales)]]</f>
        <v>0</v>
      </c>
      <c r="R8" s="17">
        <f>27.49+604.69</f>
        <v>632.18000000000006</v>
      </c>
      <c r="S8" s="17">
        <v>25</v>
      </c>
      <c r="T8" s="20">
        <f>R8+S8</f>
        <v>657.18000000000006</v>
      </c>
      <c r="U8" s="20">
        <f>H8+T8</f>
        <v>183897.18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2409747.1800000002</v>
      </c>
      <c r="AC8" s="20">
        <f>IFERROR(AB8/N8,0)</f>
        <v>1052.2913449781661</v>
      </c>
      <c r="AD8" s="56">
        <f>Z8-AA8+Y8</f>
        <v>0</v>
      </c>
    </row>
    <row r="9" spans="1:31" x14ac:dyDescent="0.25">
      <c r="A9" s="5">
        <f t="shared" ref="A9:A16" si="0">A8+1</f>
        <v>3</v>
      </c>
      <c r="B9" s="6" t="s">
        <v>87</v>
      </c>
      <c r="C9" s="6" t="s">
        <v>145</v>
      </c>
      <c r="D9" s="7">
        <v>45867</v>
      </c>
      <c r="E9" s="8" t="s">
        <v>55</v>
      </c>
      <c r="F9" s="9">
        <v>500</v>
      </c>
      <c r="G9" s="9">
        <f>IF(Table24283089101314151617[[#This Row],[SPPU]]&gt;0,0,Table24283089101314151617[[#This Row],[Total Purchase Amount]]/Table24283089101314151617[[#This Row],[Purchase QTY]])</f>
        <v>953</v>
      </c>
      <c r="H9" s="9">
        <v>476500</v>
      </c>
      <c r="I9" s="9">
        <v>0</v>
      </c>
      <c r="J9" s="9">
        <f>IFERROR(Table24283089101314151617[[#This Row],[Sales Amt]]/Table24283089101314151617[[#This Row],[Sales Qty]],0)</f>
        <v>0</v>
      </c>
      <c r="K9" s="9">
        <v>0</v>
      </c>
      <c r="L9" s="9">
        <f>Table24283089101314151617[[#This Row],[Sales Qty]]*O8</f>
        <v>0</v>
      </c>
      <c r="M9" s="9">
        <f>M8+Table24283089101314151617[[#This Row],[Total Purchase Amount]]-Table24283089101314151617[[#This Row],[Principal Cost As per  NFRS (In case of Sales)]]</f>
        <v>2518230.7000000002</v>
      </c>
      <c r="N9" s="9">
        <f>N8+Table24283089101314151617[[#This Row],[Purchase QTY]]-Table24283089101314151617[[#This Row],[Sales Qty]]</f>
        <v>2790</v>
      </c>
      <c r="O9" s="42">
        <f>IFERROR(Table24283089101314151617[[#This Row],[TC AP NFRS]]/Table24283089101314151617[[#This Row],[Unit Sum]],0)</f>
        <v>902.59164874551982</v>
      </c>
      <c r="P9" s="10">
        <f>Table24283089101314151617[[#This Row],[Sales Amt]]-Table24283089101314151617[[#This Row],[Principal Cost As per  NFRS (In case of Sales)]]</f>
        <v>0</v>
      </c>
      <c r="R9" s="17">
        <f>71.48+1572.45</f>
        <v>1643.93</v>
      </c>
      <c r="S9" s="17">
        <v>25</v>
      </c>
      <c r="T9" s="20">
        <f t="shared" ref="T9:T16" si="1">R9+S9</f>
        <v>1668.93</v>
      </c>
      <c r="U9" s="20">
        <f t="shared" ref="U9:U16" si="2">H9+T9</f>
        <v>478168.93</v>
      </c>
      <c r="V9" s="20">
        <v>0</v>
      </c>
      <c r="W9" s="20">
        <v>0</v>
      </c>
      <c r="X9" s="55">
        <f t="shared" ref="X9:X16" si="3">V9+W9</f>
        <v>0</v>
      </c>
      <c r="Y9" s="20">
        <v>0</v>
      </c>
      <c r="Z9" s="20">
        <f t="shared" ref="Z9:Z16" si="4">K9-X9-Y9</f>
        <v>0</v>
      </c>
      <c r="AA9" s="20">
        <f t="shared" ref="AA9:AA16" si="5">I9*AC8</f>
        <v>0</v>
      </c>
      <c r="AB9" s="20">
        <f t="shared" ref="AB9:AB16" si="6">AB8+U9-AA9</f>
        <v>2887916.1100000003</v>
      </c>
      <c r="AC9" s="20">
        <f t="shared" ref="AC9:AC17" si="7">IFERROR(AB9/N9,0)</f>
        <v>1035.0953799283154</v>
      </c>
      <c r="AD9" s="56">
        <f t="shared" ref="AD9:AD16" si="8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IF(Table24283089101314151617[[#This Row],[SPPU]]&gt;=0,0,Table24283089101314151617[[#This Row],[Total Purchase Amount]]/Table24283089101314151617[[#This Row],[Purchase QTY]])</f>
        <v>0</v>
      </c>
      <c r="H10" s="9"/>
      <c r="I10" s="9">
        <v>0</v>
      </c>
      <c r="J10" s="9">
        <v>0</v>
      </c>
      <c r="K10" s="9">
        <f>Table24283089101314151617[[#This Row],[Sales Qty]]*Table24283089101314151617[[#This Row],[SPPU]]</f>
        <v>0</v>
      </c>
      <c r="L10" s="9">
        <f>Table24283089101314151617[[#This Row],[Sales Qty]]*O9</f>
        <v>0</v>
      </c>
      <c r="M10" s="9">
        <f>M9+Table24283089101314151617[[#This Row],[Total Purchase Amount]]-Table24283089101314151617[[#This Row],[Principal Cost As per  NFRS (In case of Sales)]]</f>
        <v>2518230.7000000002</v>
      </c>
      <c r="N10" s="9">
        <f>N9+Table24283089101314151617[[#This Row],[Purchase QTY]]-Table24283089101314151617[[#This Row],[Sales Qty]]</f>
        <v>2790</v>
      </c>
      <c r="O10" s="42">
        <f>IFERROR(Table24283089101314151617[[#This Row],[TC AP NFRS]]/Table24283089101314151617[[#This Row],[Unit Sum]],0)</f>
        <v>902.59164874551982</v>
      </c>
      <c r="P10" s="10">
        <f>Table24283089101314151617[[#This Row],[Sales Amt]]-Table24283089101314151617[[#This Row],[Principal Cost As per  NFRS (In case of Sales)]]</f>
        <v>0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v>0</v>
      </c>
      <c r="W10" s="20">
        <v>0</v>
      </c>
      <c r="X10" s="55">
        <f t="shared" si="3"/>
        <v>0</v>
      </c>
      <c r="Y10" s="20">
        <v>0</v>
      </c>
      <c r="Z10" s="20">
        <f t="shared" si="4"/>
        <v>0</v>
      </c>
      <c r="AA10" s="20">
        <f t="shared" si="5"/>
        <v>0</v>
      </c>
      <c r="AB10" s="20">
        <f t="shared" si="6"/>
        <v>2887916.1100000003</v>
      </c>
      <c r="AC10" s="20">
        <f t="shared" si="7"/>
        <v>1035.0953799283154</v>
      </c>
      <c r="AD10" s="56">
        <f t="shared" si="8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IF(Table24283089101314151617[[#This Row],[SPPU]]&gt;=0,0,Table24283089101314151617[[#This Row],[Total Purchase Amount]]/Table24283089101314151617[[#This Row],[Purchase QTY]])</f>
        <v>#DIV/0!</v>
      </c>
      <c r="H11" s="9"/>
      <c r="I11" s="9">
        <v>0</v>
      </c>
      <c r="J11" s="9" t="e">
        <f>Table24283089101314151617[[#This Row],[Sales Amt]]/Table24283089101314151617[[#This Row],[Sales Qty]]</f>
        <v>#DIV/0!</v>
      </c>
      <c r="K11" s="9">
        <v>0</v>
      </c>
      <c r="L11" s="9">
        <f>Table24283089101314151617[[#This Row],[Sales Qty]]*O10</f>
        <v>0</v>
      </c>
      <c r="M11" s="9">
        <f>M10+Table24283089101314151617[[#This Row],[Total Purchase Amount]]-Table24283089101314151617[[#This Row],[Principal Cost As per  NFRS (In case of Sales)]]</f>
        <v>2518230.7000000002</v>
      </c>
      <c r="N11" s="9">
        <f>N10+Table24283089101314151617[[#This Row],[Purchase QTY]]-Table24283089101314151617[[#This Row],[Sales Qty]]</f>
        <v>2790</v>
      </c>
      <c r="O11" s="42">
        <f>IFERROR(Table24283089101314151617[[#This Row],[TC AP NFRS]]/Table24283089101314151617[[#This Row],[Unit Sum]],0)</f>
        <v>902.59164874551982</v>
      </c>
      <c r="P11" s="10">
        <f>Table24283089101314151617[[#This Row],[Sales Amt]]-Table24283089101314151617[[#This Row],[Principal Cost As per  NFRS (In case of Sales)]]</f>
        <v>0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v>0</v>
      </c>
      <c r="W11" s="20">
        <v>0</v>
      </c>
      <c r="X11" s="55">
        <f t="shared" si="3"/>
        <v>0</v>
      </c>
      <c r="Y11" s="20">
        <v>0</v>
      </c>
      <c r="Z11" s="20">
        <f t="shared" si="4"/>
        <v>0</v>
      </c>
      <c r="AA11" s="20">
        <f t="shared" si="5"/>
        <v>0</v>
      </c>
      <c r="AB11" s="20">
        <f t="shared" si="6"/>
        <v>2887916.1100000003</v>
      </c>
      <c r="AC11" s="20">
        <f t="shared" si="7"/>
        <v>1035.0953799283154</v>
      </c>
      <c r="AD11" s="56">
        <f t="shared" si="8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Table24283089101314151617[[#This Row],[Total Purchase Amount]]/Table24283089101314151617[[#This Row],[Purchase QTY]]</f>
        <v>#DIV/0!</v>
      </c>
      <c r="H12" s="9">
        <v>0</v>
      </c>
      <c r="I12" s="9">
        <v>0</v>
      </c>
      <c r="J12" s="9">
        <f ca="1">IFERROR(Table24283089101314151617[[#This Row],[Sales Amt]]/Table24283089101314151617[[#This Row],[Sales Qty]],0)</f>
        <v>0</v>
      </c>
      <c r="K12" s="9">
        <f ca="1">Table24283089101314151617[[#This Row],[Sales Qty]]*Table24283089101314151617[[#This Row],[SPPU]]</f>
        <v>0</v>
      </c>
      <c r="L12" s="9">
        <f>Table24283089101314151617[[#This Row],[Sales Qty]]*O11</f>
        <v>0</v>
      </c>
      <c r="M12" s="9">
        <f>M11+Table24283089101314151617[[#This Row],[Total Purchase Amount]]-Table24283089101314151617[[#This Row],[Principal Cost As per  NFRS (In case of Sales)]]</f>
        <v>2518230.7000000002</v>
      </c>
      <c r="N12" s="9">
        <f>N11+Table24283089101314151617[[#This Row],[Purchase QTY]]-Table24283089101314151617[[#This Row],[Sales Qty]]</f>
        <v>2790</v>
      </c>
      <c r="O12" s="42">
        <f>IFERROR(Table24283089101314151617[[#This Row],[TC AP NFRS]]/Table24283089101314151617[[#This Row],[Unit Sum]],0)</f>
        <v>902.59164874551982</v>
      </c>
      <c r="P12" s="10">
        <f ca="1">Table24283089101314151617[[#This Row],[Sales Amt]]-Table24283089101314151617[[#This Row],[Principal Cost As per  NFRS (In case of Sales)]]</f>
        <v>0</v>
      </c>
      <c r="R12" s="17">
        <v>0</v>
      </c>
      <c r="S12" s="17"/>
      <c r="T12" s="20">
        <f t="shared" si="1"/>
        <v>0</v>
      </c>
      <c r="U12" s="20">
        <f t="shared" si="2"/>
        <v>0</v>
      </c>
      <c r="V12" s="20">
        <v>0</v>
      </c>
      <c r="W12" s="20">
        <v>0</v>
      </c>
      <c r="X12" s="55">
        <f t="shared" si="3"/>
        <v>0</v>
      </c>
      <c r="Y12" s="20">
        <v>0</v>
      </c>
      <c r="Z12" s="20">
        <f t="shared" ca="1" si="4"/>
        <v>0</v>
      </c>
      <c r="AA12" s="20">
        <f t="shared" si="5"/>
        <v>0</v>
      </c>
      <c r="AB12" s="20">
        <f t="shared" si="6"/>
        <v>2887916.1100000003</v>
      </c>
      <c r="AC12" s="20">
        <f t="shared" si="7"/>
        <v>1035.0953799283154</v>
      </c>
      <c r="AD12" s="56">
        <f t="shared" ca="1" si="8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Table24283089101314151617[[#This Row],[Total Purchase Amount]]/Table24283089101314151617[[#This Row],[Purchase QTY]]</f>
        <v>#DIV/0!</v>
      </c>
      <c r="H13" s="9">
        <v>0</v>
      </c>
      <c r="I13" s="9">
        <v>0</v>
      </c>
      <c r="J13" s="9">
        <f ca="1">IFERROR(Table24283089101314151617[[#This Row],[Sales Amt]]/Table24283089101314151617[[#This Row],[Sales Qty]],0)</f>
        <v>0</v>
      </c>
      <c r="K13" s="9">
        <f ca="1">Table24283089101314151617[[#This Row],[Sales Qty]]*Table24283089101314151617[[#This Row],[SPPU]]</f>
        <v>0</v>
      </c>
      <c r="L13" s="9">
        <f>Table24283089101314151617[[#This Row],[Sales Qty]]*O12</f>
        <v>0</v>
      </c>
      <c r="M13" s="9">
        <f>M12+Table24283089101314151617[[#This Row],[Total Purchase Amount]]-Table24283089101314151617[[#This Row],[Principal Cost As per  NFRS (In case of Sales)]]</f>
        <v>2518230.7000000002</v>
      </c>
      <c r="N13" s="9">
        <f>N12+Table24283089101314151617[[#This Row],[Purchase QTY]]-Table24283089101314151617[[#This Row],[Sales Qty]]</f>
        <v>2790</v>
      </c>
      <c r="O13" s="42">
        <f>IFERROR(Table24283089101314151617[[#This Row],[TC AP NFRS]]/Table24283089101314151617[[#This Row],[Unit Sum]],0)</f>
        <v>902.59164874551982</v>
      </c>
      <c r="P13" s="10">
        <f ca="1">Table24283089101314151617[[#This Row],[Sales Amt]]-Table24283089101314151617[[#This Row],[Principal Cost As per  NFRS (In case of Sales)]]</f>
        <v>0</v>
      </c>
      <c r="R13" s="17">
        <v>0</v>
      </c>
      <c r="S13" s="17"/>
      <c r="T13" s="20">
        <f t="shared" si="1"/>
        <v>0</v>
      </c>
      <c r="U13" s="20">
        <f t="shared" si="2"/>
        <v>0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ca="1" si="4"/>
        <v>0</v>
      </c>
      <c r="AA13" s="20">
        <f t="shared" si="5"/>
        <v>0</v>
      </c>
      <c r="AB13" s="20">
        <f t="shared" si="6"/>
        <v>2887916.1100000003</v>
      </c>
      <c r="AC13" s="20">
        <f t="shared" si="7"/>
        <v>1035.0953799283154</v>
      </c>
      <c r="AD13" s="56">
        <f t="shared" ca="1" si="8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IF(Table24283089101314151617[[#This Row],[SPPU]]&gt;=0,0,Table24283089101314151617[[#This Row],[Total Purchase Amount]]/Table24283089101314151617[[#This Row],[Purchase QTY]])</f>
        <v>0</v>
      </c>
      <c r="H14" s="9"/>
      <c r="I14" s="9">
        <v>0</v>
      </c>
      <c r="J14" s="9">
        <f>IFERROR(Table24283089101314151617[[#This Row],[Sales Amt]]/Table24283089101314151617[[#This Row],[Sales Qty]],0)</f>
        <v>0</v>
      </c>
      <c r="K14" s="9">
        <v>0</v>
      </c>
      <c r="L14" s="9">
        <f>Table24283089101314151617[[#This Row],[Sales Qty]]*O12</f>
        <v>0</v>
      </c>
      <c r="M14" s="9">
        <f>M13+Table24283089101314151617[[#This Row],[Total Purchase Amount]]-Table24283089101314151617[[#This Row],[Principal Cost As per  NFRS (In case of Sales)]]</f>
        <v>2518230.7000000002</v>
      </c>
      <c r="N14" s="9">
        <f>N13+Table24283089101314151617[[#This Row],[Purchase QTY]]-Table24283089101314151617[[#This Row],[Sales Qty]]</f>
        <v>2790</v>
      </c>
      <c r="O14" s="42">
        <f>IFERROR(Table24283089101314151617[[#This Row],[TC AP NFRS]]/Table24283089101314151617[[#This Row],[Unit Sum]],0)</f>
        <v>902.59164874551982</v>
      </c>
      <c r="P14" s="10">
        <f>Table24283089101314151617[[#This Row],[Sales Amt]]-Table24283089101314151617[[#This Row],[Principal Cost As per  NFRS (In case of Sales)]]</f>
        <v>0</v>
      </c>
      <c r="R14" s="17">
        <v>0</v>
      </c>
      <c r="S14" s="17"/>
      <c r="T14" s="20">
        <f t="shared" si="1"/>
        <v>0</v>
      </c>
      <c r="U14" s="20">
        <f t="shared" si="2"/>
        <v>0</v>
      </c>
      <c r="V14" s="20">
        <v>0</v>
      </c>
      <c r="W14" s="20">
        <v>0</v>
      </c>
      <c r="X14" s="55">
        <f t="shared" si="3"/>
        <v>0</v>
      </c>
      <c r="Y14" s="20">
        <v>0</v>
      </c>
      <c r="Z14" s="20">
        <f t="shared" si="4"/>
        <v>0</v>
      </c>
      <c r="AA14" s="20">
        <f t="shared" si="5"/>
        <v>0</v>
      </c>
      <c r="AB14" s="20">
        <f t="shared" si="6"/>
        <v>2887916.1100000003</v>
      </c>
      <c r="AC14" s="20">
        <f t="shared" si="7"/>
        <v>1035.0953799283154</v>
      </c>
      <c r="AD14" s="56">
        <f t="shared" si="8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IF(Table24283089101314151617[[#This Row],[SPPU]]&gt;=0,0,Table24283089101314151617[[#This Row],[Total Purchase Amount]]/Table24283089101314151617[[#This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Table24283089101314151617[[#This Row],[Sales Qty]]*O14</f>
        <v>0</v>
      </c>
      <c r="M15" s="9">
        <f>M14+Table24283089101314151617[[#This Row],[Total Purchase Amount]]-Table24283089101314151617[[#This Row],[Principal Cost As per  NFRS (In case of Sales)]]</f>
        <v>2518230.7000000002</v>
      </c>
      <c r="N15" s="9">
        <f>N14+Table24283089101314151617[[#This Row],[Purchase QTY]]-Table24283089101314151617[[#This Row],[Sales Qty]]</f>
        <v>2790</v>
      </c>
      <c r="O15" s="42">
        <f>IFERROR(Table24283089101314151617[[#This Row],[TC AP NFRS]]/Table24283089101314151617[[#This Row],[Unit Sum]],0)</f>
        <v>902.59164874551982</v>
      </c>
      <c r="P15" s="10">
        <f>Table24283089101314151617[[#This Row],[Sales Amt]]-Table24283089101314151617[[#This Row],[Principal Cost As per  NFRS (In case of Sales)]]</f>
        <v>0</v>
      </c>
      <c r="R15" s="17">
        <v>0</v>
      </c>
      <c r="S15" s="17"/>
      <c r="T15" s="20">
        <f t="shared" si="1"/>
        <v>0</v>
      </c>
      <c r="U15" s="20">
        <f t="shared" si="2"/>
        <v>0</v>
      </c>
      <c r="V15" s="20">
        <v>0</v>
      </c>
      <c r="W15" s="20">
        <v>0</v>
      </c>
      <c r="X15" s="55">
        <f t="shared" si="3"/>
        <v>0</v>
      </c>
      <c r="Y15" s="20">
        <v>0</v>
      </c>
      <c r="Z15" s="20">
        <f t="shared" si="4"/>
        <v>0</v>
      </c>
      <c r="AA15" s="20">
        <f t="shared" si="5"/>
        <v>0</v>
      </c>
      <c r="AB15" s="20">
        <f t="shared" si="6"/>
        <v>2887916.1100000003</v>
      </c>
      <c r="AC15" s="20">
        <f t="shared" si="7"/>
        <v>1035.0953799283154</v>
      </c>
      <c r="AD15" s="56">
        <f t="shared" si="8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IF(Table24283089101314151617[[#This Row],[SPPU]]&gt;=0,0,Table24283089101314151617[[#This Row],[Total Purchase Amount]]/Table24283089101314151617[[#This Row],[Purchase QTY]])</f>
        <v>#DIV/0!</v>
      </c>
      <c r="H16" s="9"/>
      <c r="I16" s="9">
        <v>0</v>
      </c>
      <c r="J16" s="9" t="e">
        <f>Table24283089101314151617[[#This Row],[Sales Amt]]/Table24283089101314151617[[#This Row],[Sales Qty]]</f>
        <v>#DIV/0!</v>
      </c>
      <c r="K16" s="9">
        <v>0</v>
      </c>
      <c r="L16" s="9">
        <f>Table24283089101314151617[[#This Row],[Sales Qty]]*O15</f>
        <v>0</v>
      </c>
      <c r="M16" s="9">
        <f>M15+Table24283089101314151617[[#This Row],[Total Purchase Amount]]-Table24283089101314151617[[#This Row],[Principal Cost As per  NFRS (In case of Sales)]]</f>
        <v>2518230.7000000002</v>
      </c>
      <c r="N16" s="9">
        <f>N15+Table24283089101314151617[[#This Row],[Purchase QTY]]-Table24283089101314151617[[#This Row],[Sales Qty]]</f>
        <v>2790</v>
      </c>
      <c r="O16" s="42">
        <f>IFERROR(Table24283089101314151617[[#This Row],[TC AP NFRS]]/Table24283089101314151617[[#This Row],[Unit Sum]],0)</f>
        <v>902.59164874551982</v>
      </c>
      <c r="P16" s="10">
        <f>Table24283089101314151617[[#This Row],[Sales Amt]]-Table24283089101314151617[[#This Row],[Principal Cost As per  NFRS (In case of Sales)]]</f>
        <v>0</v>
      </c>
      <c r="R16" s="17">
        <v>0</v>
      </c>
      <c r="S16" s="17"/>
      <c r="T16" s="20">
        <f t="shared" si="1"/>
        <v>0</v>
      </c>
      <c r="U16" s="20">
        <f t="shared" si="2"/>
        <v>0</v>
      </c>
      <c r="V16" s="20">
        <v>0</v>
      </c>
      <c r="W16" s="20">
        <v>0</v>
      </c>
      <c r="X16" s="55">
        <f t="shared" si="3"/>
        <v>0</v>
      </c>
      <c r="Y16" s="20">
        <v>0</v>
      </c>
      <c r="Z16" s="20">
        <f t="shared" si="4"/>
        <v>0</v>
      </c>
      <c r="AA16" s="20">
        <f t="shared" si="5"/>
        <v>0</v>
      </c>
      <c r="AB16" s="20">
        <f t="shared" si="6"/>
        <v>2887916.1100000003</v>
      </c>
      <c r="AC16" s="20">
        <f t="shared" si="7"/>
        <v>1035.0953799283154</v>
      </c>
      <c r="AD16" s="56">
        <f t="shared" si="8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2790</v>
      </c>
      <c r="G17" s="15"/>
      <c r="H17" s="15">
        <f ca="1">SUM(INDIRECT("h4:h"&amp;ROW()-1))</f>
        <v>2518230.7000000002</v>
      </c>
      <c r="I17" s="15">
        <f ca="1">SUM(INDIRECT("i4:i"&amp;ROW()-1))</f>
        <v>0</v>
      </c>
      <c r="J17" s="15">
        <f>SUM(J7:J9)</f>
        <v>0</v>
      </c>
      <c r="K17" s="15">
        <f>SUM(K7:K9)</f>
        <v>0</v>
      </c>
      <c r="L17" s="15">
        <f>SUBTOTAL(109,L7:L16)</f>
        <v>0</v>
      </c>
      <c r="M17" s="15">
        <f ca="1">Table24283089101314151617[[#This Row],[Total Purchase Amount]]-Table24283089101314151617[[#This Row],[Principal Cost As per  NFRS (In case of Sales)]]</f>
        <v>2518230.7000000002</v>
      </c>
      <c r="N17" s="15">
        <f ca="1">Table24283089101314151617[[#This Row],[Purchase QTY]]-Table24283089101314151617[[#This Row],[Sales Qty]]</f>
        <v>2790</v>
      </c>
      <c r="O17" s="43">
        <f ca="1">Table24283089101314151617[[#This Row],[TC AP NFRS]]/Table24283089101314151617[[#This Row],[Unit Sum]]</f>
        <v>902.59164874551982</v>
      </c>
      <c r="P17" s="15">
        <f ca="1">SUM(INDIRECT("p4:p"&amp;ROW()-1))</f>
        <v>0</v>
      </c>
      <c r="R17" s="24">
        <f>SUM(R7:R9)</f>
        <v>2276.11</v>
      </c>
      <c r="S17" s="24">
        <f t="shared" ref="S17:AA17" si="9">SUM(S7:S9)</f>
        <v>50</v>
      </c>
      <c r="T17" s="24">
        <f t="shared" si="9"/>
        <v>2326.11</v>
      </c>
      <c r="U17" s="24">
        <f>SUM(U7:U9)</f>
        <v>2887916.1100000003</v>
      </c>
      <c r="V17" s="24">
        <f t="shared" si="9"/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t="shared" si="9"/>
        <v>0</v>
      </c>
      <c r="AA17" s="24">
        <f t="shared" si="9"/>
        <v>0</v>
      </c>
      <c r="AB17" s="24">
        <f>U17-AA17</f>
        <v>2887916.1100000003</v>
      </c>
      <c r="AC17" s="26">
        <f t="shared" ca="1" si="7"/>
        <v>1035.0953799283154</v>
      </c>
      <c r="AD17" s="27">
        <f>SUM(AD7:AD9)</f>
        <v>0</v>
      </c>
    </row>
    <row r="20" spans="1:30" x14ac:dyDescent="0.25">
      <c r="A20" t="s">
        <v>882</v>
      </c>
      <c r="R20" s="120" t="s">
        <v>20</v>
      </c>
      <c r="S20" s="121"/>
      <c r="T20" s="121"/>
      <c r="U20" s="50"/>
      <c r="V20" s="120" t="s">
        <v>67</v>
      </c>
      <c r="W20" s="121"/>
      <c r="X20" s="121"/>
      <c r="Y20" s="123" t="s">
        <v>13</v>
      </c>
      <c r="Z20" s="124" t="s">
        <v>10</v>
      </c>
      <c r="AA20" s="125" t="s">
        <v>66</v>
      </c>
      <c r="AB20" s="123" t="s">
        <v>15</v>
      </c>
      <c r="AC20" s="123" t="s">
        <v>18</v>
      </c>
      <c r="AD20" s="123" t="s">
        <v>12</v>
      </c>
    </row>
    <row r="21" spans="1:30" ht="75" x14ac:dyDescent="0.25">
      <c r="A21" s="1" t="s">
        <v>57</v>
      </c>
      <c r="B21" s="2" t="s">
        <v>0</v>
      </c>
      <c r="C21" s="2" t="s">
        <v>53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51</v>
      </c>
      <c r="I21" s="2" t="s">
        <v>6</v>
      </c>
      <c r="J21" s="16" t="s">
        <v>7</v>
      </c>
      <c r="K21" s="16" t="s">
        <v>8</v>
      </c>
      <c r="L21" s="2" t="s">
        <v>50</v>
      </c>
      <c r="M21" s="2" t="s">
        <v>14</v>
      </c>
      <c r="N21" s="2" t="s">
        <v>16</v>
      </c>
      <c r="O21" s="4" t="s">
        <v>17</v>
      </c>
      <c r="P21" s="3" t="s">
        <v>11</v>
      </c>
      <c r="R21" s="2" t="s">
        <v>65</v>
      </c>
      <c r="S21" s="2" t="s">
        <v>62</v>
      </c>
      <c r="T21" s="2" t="s">
        <v>5</v>
      </c>
      <c r="U21" s="2" t="s">
        <v>164</v>
      </c>
      <c r="V21" s="16" t="s">
        <v>64</v>
      </c>
      <c r="W21" s="16" t="s">
        <v>62</v>
      </c>
      <c r="X21" s="45" t="s">
        <v>9</v>
      </c>
      <c r="Y21" s="123"/>
      <c r="Z21" s="124"/>
      <c r="AA21" s="125"/>
      <c r="AB21" s="123"/>
      <c r="AC21" s="123"/>
      <c r="AD21" s="123"/>
    </row>
    <row r="22" spans="1:30" x14ac:dyDescent="0.25">
      <c r="A22" s="96">
        <v>1</v>
      </c>
      <c r="B22" s="97" t="s">
        <v>87</v>
      </c>
      <c r="C22" s="97"/>
      <c r="D22" s="98">
        <v>45886</v>
      </c>
      <c r="E22" s="99" t="s">
        <v>19</v>
      </c>
      <c r="F22" s="59">
        <v>2790</v>
      </c>
      <c r="G22" s="59"/>
      <c r="H22" s="59">
        <v>2518230.7000000002</v>
      </c>
      <c r="I22" s="59">
        <v>0</v>
      </c>
      <c r="J22" s="59">
        <v>0</v>
      </c>
      <c r="K22" s="59">
        <v>0</v>
      </c>
      <c r="L22" s="59">
        <v>0</v>
      </c>
      <c r="M22" s="59">
        <v>2518230.7000000002</v>
      </c>
      <c r="N22" s="59">
        <v>2790</v>
      </c>
      <c r="O22" s="59">
        <v>902.59164874551982</v>
      </c>
      <c r="P22" s="59">
        <v>0</v>
      </c>
      <c r="Q22" s="59"/>
      <c r="R22" s="59">
        <v>2276.11</v>
      </c>
      <c r="S22" s="59">
        <v>50</v>
      </c>
      <c r="T22" s="59">
        <v>2326.11</v>
      </c>
      <c r="U22" s="59">
        <v>2887916.1100000003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2887916.1100000003</v>
      </c>
      <c r="AC22" s="59">
        <v>1035.0953799283154</v>
      </c>
      <c r="AD22" s="59">
        <v>0</v>
      </c>
    </row>
  </sheetData>
  <mergeCells count="16">
    <mergeCell ref="AB20:AB21"/>
    <mergeCell ref="AC20:AC21"/>
    <mergeCell ref="AD20:AD21"/>
    <mergeCell ref="R20:T20"/>
    <mergeCell ref="V20:X20"/>
    <mergeCell ref="Y20:Y21"/>
    <mergeCell ref="Z20:Z21"/>
    <mergeCell ref="AA20:AA21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BC546A-5362-4639-A2F5-2AFED8CEBF2D}">
          <x14:formula1>
            <xm:f>VALIDATION!$A$2:$A$7</xm:f>
          </x14:formula1>
          <xm:sqref>E7:E16 E22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B533-1C51-46F3-8A43-04D2240CE93E}">
  <dimension ref="A1:AE15"/>
  <sheetViews>
    <sheetView view="pageBreakPreview" topLeftCell="B2" zoomScale="115" zoomScaleNormal="100" zoomScaleSheetLayoutView="115" workbookViewId="0">
      <selection activeCell="AD13" sqref="A13:AD14"/>
    </sheetView>
  </sheetViews>
  <sheetFormatPr defaultRowHeight="15" x14ac:dyDescent="0.25"/>
  <cols>
    <col min="1" max="1" width="8.7109375" customWidth="1"/>
    <col min="2" max="2" width="10.5703125" customWidth="1"/>
    <col min="3" max="3" width="17.140625" bestFit="1" customWidth="1"/>
    <col min="4" max="4" width="10.28515625" bestFit="1" customWidth="1"/>
    <col min="6" max="6" width="11.42578125" bestFit="1" customWidth="1"/>
    <col min="7" max="7" width="8" bestFit="1" customWidth="1"/>
    <col min="8" max="8" width="15.42578125" bestFit="1" customWidth="1"/>
    <col min="9" max="9" width="11" bestFit="1" customWidth="1"/>
    <col min="10" max="10" width="9.5703125" customWidth="1"/>
    <col min="11" max="11" width="15.140625" bestFit="1" customWidth="1"/>
    <col min="12" max="12" width="13.5703125" customWidth="1"/>
    <col min="13" max="13" width="13.140625" bestFit="1" customWidth="1"/>
    <col min="14" max="15" width="9.42578125" bestFit="1" customWidth="1"/>
    <col min="16" max="16" width="13" bestFit="1" customWidth="1"/>
    <col min="17" max="17" width="1.85546875" customWidth="1"/>
    <col min="18" max="18" width="11.42578125" bestFit="1" customWidth="1"/>
    <col min="20" max="20" width="11.42578125" bestFit="1" customWidth="1"/>
    <col min="21" max="21" width="16.5703125" customWidth="1"/>
    <col min="22" max="22" width="11.42578125" bestFit="1" customWidth="1"/>
    <col min="23" max="23" width="8.28515625" customWidth="1"/>
    <col min="24" max="25" width="11.425781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2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93</v>
      </c>
      <c r="C7" s="6"/>
      <c r="D7" s="7">
        <v>45855</v>
      </c>
      <c r="E7" s="8" t="s">
        <v>19</v>
      </c>
      <c r="F7" s="9">
        <v>0</v>
      </c>
      <c r="G7" s="9">
        <v>0</v>
      </c>
      <c r="H7" s="9">
        <f>Table24283089101314151617181920[[#This Row],[Purchase QTY]]*Table24283089101314151617181920[[#This Row],[PPPU]]</f>
        <v>0</v>
      </c>
      <c r="I7" s="9"/>
      <c r="J7" s="9"/>
      <c r="K7" s="9"/>
      <c r="L7" s="9"/>
      <c r="M7" s="9">
        <f>Table24283089101314151617181920[[#This Row],[Total Purchase Amount]]</f>
        <v>0</v>
      </c>
      <c r="N7" s="9">
        <f>IF(Table24283089101314151617181920[[#This Row],[Txn Type]]="opening",Table24283089101314151617181920[[#This Row],[Purchase QTY]],"Error")</f>
        <v>0</v>
      </c>
      <c r="O7" s="42">
        <f>IFERROR(Table24283089101314151617181920[[#This Row],[TC AP NFRS]]/Table24283089101314151617181920[[#This Row],[Unit Sum]],0)</f>
        <v>0</v>
      </c>
      <c r="P7" s="10">
        <f>Table24283089101314151617181920[[#This Row],[Sales Amt]]-Table24283089101314151617181920[[#This Row],[Principal Cost As per  NFRS (In case of Sales)]]</f>
        <v>0</v>
      </c>
      <c r="R7" s="17"/>
      <c r="S7" s="17"/>
      <c r="T7" s="20">
        <f>R7+S7</f>
        <v>0</v>
      </c>
      <c r="U7" s="20">
        <f>AB7</f>
        <v>0</v>
      </c>
      <c r="V7" s="20"/>
      <c r="W7" s="20"/>
      <c r="X7" s="20"/>
      <c r="Y7" s="46"/>
      <c r="Z7" s="46"/>
      <c r="AA7" s="46"/>
      <c r="AB7" s="46">
        <f>F7*AC7</f>
        <v>0</v>
      </c>
      <c r="AC7" s="46"/>
      <c r="AD7" s="56"/>
    </row>
    <row r="8" spans="1:31" ht="30" x14ac:dyDescent="0.25">
      <c r="A8" s="5">
        <f>A7+1</f>
        <v>2</v>
      </c>
      <c r="B8" s="6" t="s">
        <v>93</v>
      </c>
      <c r="C8" s="6" t="s">
        <v>94</v>
      </c>
      <c r="D8" s="7">
        <v>45858</v>
      </c>
      <c r="E8" s="8" t="s">
        <v>55</v>
      </c>
      <c r="F8" s="9">
        <v>2500</v>
      </c>
      <c r="G8" s="9">
        <f>Table24283089101314151617181920[[#This Row],[Total Purchase Amount]]/Table24283089101314151617181920[[#This Row],[Purchase QTY]]</f>
        <v>510</v>
      </c>
      <c r="H8" s="9">
        <v>1275000</v>
      </c>
      <c r="I8" s="9">
        <v>0</v>
      </c>
      <c r="J8" s="9">
        <f>IFERROR(Table24283089101314151617181920[[#This Row],[Sales Amt]]/Table24283089101314151617181920[[#This Row],[Sales Qty]],0)</f>
        <v>0</v>
      </c>
      <c r="K8" s="9">
        <v>0</v>
      </c>
      <c r="L8" s="9">
        <f>Table24283089101314151617181920[[#This Row],[Sales Qty]]*O7</f>
        <v>0</v>
      </c>
      <c r="M8" s="9">
        <f>M7+Table24283089101314151617181920[[#This Row],[Total Purchase Amount]]-Table24283089101314151617181920[[#This Row],[Principal Cost As per  NFRS (In case of Sales)]]</f>
        <v>1275000</v>
      </c>
      <c r="N8" s="9">
        <f>N7+Table24283089101314151617181920[[#This Row],[Purchase QTY]]-Table24283089101314151617181920[[#This Row],[Sales Qty]]</f>
        <v>2500</v>
      </c>
      <c r="O8" s="42">
        <f>IFERROR(Table24283089101314151617181920[[#This Row],[TC AP NFRS]]/Table24283089101314151617181920[[#This Row],[Unit Sum]],0)</f>
        <v>510</v>
      </c>
      <c r="P8" s="10">
        <f>Table24283089101314151617181920[[#This Row],[Sales Amt]]-Table24283089101314151617181920[[#This Row],[Principal Cost As per  NFRS (In case of Sales)]]</f>
        <v>0</v>
      </c>
      <c r="R8" s="17">
        <f>191.25+4105.5</f>
        <v>4296.75</v>
      </c>
      <c r="S8" s="17">
        <v>25</v>
      </c>
      <c r="T8" s="20">
        <f>R8+S8</f>
        <v>4321.75</v>
      </c>
      <c r="U8" s="20">
        <f>H8+T8</f>
        <v>1279321.75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1279321.75</v>
      </c>
      <c r="AC8" s="20">
        <f>IFERROR(AB8/N8,0)</f>
        <v>511.7287</v>
      </c>
      <c r="AD8" s="56">
        <f>Z8-AA8+Y8</f>
        <v>0</v>
      </c>
    </row>
    <row r="9" spans="1:31" ht="30" x14ac:dyDescent="0.25">
      <c r="A9" s="5">
        <f t="shared" ref="A9" si="0">A8+1</f>
        <v>3</v>
      </c>
      <c r="B9" s="6" t="s">
        <v>93</v>
      </c>
      <c r="C9" s="6" t="s">
        <v>111</v>
      </c>
      <c r="D9" s="7">
        <v>45861</v>
      </c>
      <c r="E9" s="8" t="s">
        <v>112</v>
      </c>
      <c r="F9" s="9">
        <v>0</v>
      </c>
      <c r="G9" s="9">
        <f>IF(Table24283089101314151617181920[[#This Row],[SPPU]]&gt;=0,0,Table24283089101314151617181920[[#This Row],[Total Purchase Amount]]/Table24283089101314151617181920[[#This Row],[Purchase QTY]])</f>
        <v>0</v>
      </c>
      <c r="H9" s="9">
        <v>0</v>
      </c>
      <c r="I9" s="9">
        <v>2500</v>
      </c>
      <c r="J9" s="9">
        <f>IFERROR(Table24283089101314151617181920[[#This Row],[Sales Amt]]/Table24283089101314151617181920[[#This Row],[Sales Qty]],0)</f>
        <v>549.41795999999999</v>
      </c>
      <c r="K9" s="9">
        <v>1373544.9</v>
      </c>
      <c r="L9" s="9">
        <f>Table24283089101314151617181920[[#This Row],[Sales Qty]]*O8</f>
        <v>1275000</v>
      </c>
      <c r="M9" s="9">
        <f>M8+Table24283089101314151617181920[[#This Row],[Total Purchase Amount]]-Table24283089101314151617181920[[#This Row],[Principal Cost As per  NFRS (In case of Sales)]]</f>
        <v>0</v>
      </c>
      <c r="N9" s="9">
        <f>N8+Table24283089101314151617181920[[#This Row],[Purchase QTY]]-Table24283089101314151617181920[[#This Row],[Sales Qty]]</f>
        <v>0</v>
      </c>
      <c r="O9" s="42">
        <f>IFERROR(Table24283089101314151617181920[[#This Row],[TC AP NFRS]]/Table24283089101314151617181920[[#This Row],[Unit Sum]],0)</f>
        <v>0</v>
      </c>
      <c r="P9" s="10">
        <f>Table24283089101314151617181920[[#This Row],[Sales Amt]]-Table24283089101314151617181920[[#This Row],[Principal Cost As per  NFRS (In case of Sales)]]</f>
        <v>98544.899999999907</v>
      </c>
      <c r="R9" s="17">
        <v>0</v>
      </c>
      <c r="S9" s="17"/>
      <c r="T9" s="20">
        <f>R9+S9</f>
        <v>0</v>
      </c>
      <c r="U9" s="20">
        <f>H9+T9</f>
        <v>0</v>
      </c>
      <c r="V9" s="20">
        <f>206.03+4541.07</f>
        <v>4747.0999999999995</v>
      </c>
      <c r="W9" s="20">
        <v>25</v>
      </c>
      <c r="X9" s="55">
        <f>V9+W9</f>
        <v>4772.0999999999995</v>
      </c>
      <c r="Y9" s="20">
        <v>8945.0499999999993</v>
      </c>
      <c r="Z9" s="20">
        <f>K9-X9-Y9</f>
        <v>1359827.7499999998</v>
      </c>
      <c r="AA9" s="20">
        <f>I9*AC8</f>
        <v>1279321.75</v>
      </c>
      <c r="AB9" s="20">
        <f>AB8+U9-AA9</f>
        <v>0</v>
      </c>
      <c r="AC9" s="20">
        <f>IFERROR(AB9/N9,0)</f>
        <v>0</v>
      </c>
      <c r="AD9" s="56">
        <f>Z9-AA9+Y9</f>
        <v>89451.04999999977</v>
      </c>
    </row>
    <row r="10" spans="1:31" ht="15.75" x14ac:dyDescent="0.25">
      <c r="A10" s="11" t="s">
        <v>22</v>
      </c>
      <c r="B10" s="12"/>
      <c r="C10" s="12"/>
      <c r="D10" s="13"/>
      <c r="E10" s="14"/>
      <c r="F10" s="15">
        <f ca="1">SUM(INDIRECT("f4:f"&amp;ROW()-1))</f>
        <v>2500</v>
      </c>
      <c r="G10" s="15"/>
      <c r="H10" s="15">
        <f ca="1">SUM(INDIRECT("h4:h"&amp;ROW()-1))</f>
        <v>1275000</v>
      </c>
      <c r="I10" s="15">
        <f ca="1">SUM(INDIRECT("i4:i"&amp;ROW()-1))</f>
        <v>2500</v>
      </c>
      <c r="J10" s="15">
        <f ca="1">Table24283089101314151617181920[[#This Row],[Sales Amt]]/Table24283089101314151617181920[[#This Row],[Sales Qty]]</f>
        <v>549.41795999999999</v>
      </c>
      <c r="K10" s="15">
        <f>SUBTOTAL(109,K7:K9)</f>
        <v>1373544.9</v>
      </c>
      <c r="L10" s="15"/>
      <c r="M10" s="15"/>
      <c r="N10" s="15">
        <f ca="1">Table24283089101314151617181920[[#This Row],[Purchase QTY]]-Table24283089101314151617181920[[#This Row],[Sales Qty]]</f>
        <v>0</v>
      </c>
      <c r="O10" s="43"/>
      <c r="P10" s="15">
        <f ca="1">SUM(INDIRECT("p4:p"&amp;ROW()-1))</f>
        <v>98544.899999999907</v>
      </c>
      <c r="R10" s="24">
        <f>SUM(R7:R9)</f>
        <v>4296.75</v>
      </c>
      <c r="S10" s="24">
        <f t="shared" ref="S10:AD10" si="1">SUM(S7:S9)</f>
        <v>25</v>
      </c>
      <c r="T10" s="24">
        <f>SUM(T7:T9)</f>
        <v>4321.75</v>
      </c>
      <c r="U10" s="25">
        <f>SUM(U7:U9)</f>
        <v>1279321.75</v>
      </c>
      <c r="V10" s="24">
        <f>SUM(V7:V9)</f>
        <v>4747.0999999999995</v>
      </c>
      <c r="W10" s="24">
        <f t="shared" si="1"/>
        <v>25</v>
      </c>
      <c r="X10" s="24">
        <f t="shared" si="1"/>
        <v>4772.0999999999995</v>
      </c>
      <c r="Y10" s="24">
        <f>SUM(Y7:Y9)</f>
        <v>8945.0499999999993</v>
      </c>
      <c r="Z10" s="24">
        <f>SUM(Z7:Z9)</f>
        <v>1359827.7499999998</v>
      </c>
      <c r="AA10" s="24">
        <f t="shared" si="1"/>
        <v>1279321.75</v>
      </c>
      <c r="AB10" s="24">
        <f>U10-AA10</f>
        <v>0</v>
      </c>
      <c r="AC10" s="24">
        <f ca="1">IFERROR(AB10/Table24283089101314151617181920[[#This Row],[Unit Sum]],0)</f>
        <v>0</v>
      </c>
      <c r="AD10" s="24">
        <f t="shared" si="1"/>
        <v>89451.04999999977</v>
      </c>
    </row>
    <row r="13" spans="1:31" x14ac:dyDescent="0.25">
      <c r="A13" t="s">
        <v>882</v>
      </c>
      <c r="R13" s="120" t="s">
        <v>20</v>
      </c>
      <c r="S13" s="121"/>
      <c r="T13" s="121"/>
      <c r="U13" s="50"/>
      <c r="V13" s="120" t="s">
        <v>67</v>
      </c>
      <c r="W13" s="121"/>
      <c r="X13" s="121"/>
      <c r="Y13" s="123" t="s">
        <v>13</v>
      </c>
      <c r="Z13" s="124" t="s">
        <v>10</v>
      </c>
      <c r="AA13" s="125" t="s">
        <v>66</v>
      </c>
      <c r="AB13" s="123" t="s">
        <v>15</v>
      </c>
      <c r="AC13" s="123" t="s">
        <v>18</v>
      </c>
      <c r="AD13" s="123" t="s">
        <v>12</v>
      </c>
    </row>
    <row r="14" spans="1:31" ht="75" x14ac:dyDescent="0.25">
      <c r="A14" s="1" t="s">
        <v>57</v>
      </c>
      <c r="B14" s="2" t="s">
        <v>0</v>
      </c>
      <c r="C14" s="2" t="s">
        <v>53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51</v>
      </c>
      <c r="I14" s="2" t="s">
        <v>6</v>
      </c>
      <c r="J14" s="16" t="s">
        <v>7</v>
      </c>
      <c r="K14" s="16" t="s">
        <v>8</v>
      </c>
      <c r="L14" s="2" t="s">
        <v>50</v>
      </c>
      <c r="M14" s="2" t="s">
        <v>14</v>
      </c>
      <c r="N14" s="2" t="s">
        <v>16</v>
      </c>
      <c r="O14" s="4" t="s">
        <v>17</v>
      </c>
      <c r="P14" s="3" t="s">
        <v>11</v>
      </c>
      <c r="R14" s="2" t="s">
        <v>65</v>
      </c>
      <c r="S14" s="2" t="s">
        <v>62</v>
      </c>
      <c r="T14" s="2" t="s">
        <v>5</v>
      </c>
      <c r="U14" s="2" t="s">
        <v>164</v>
      </c>
      <c r="V14" s="16" t="s">
        <v>64</v>
      </c>
      <c r="W14" s="16" t="s">
        <v>62</v>
      </c>
      <c r="X14" s="45" t="s">
        <v>9</v>
      </c>
      <c r="Y14" s="123"/>
      <c r="Z14" s="124"/>
      <c r="AA14" s="125"/>
      <c r="AB14" s="123"/>
      <c r="AC14" s="123"/>
      <c r="AD14" s="123"/>
    </row>
    <row r="15" spans="1:31" x14ac:dyDescent="0.25">
      <c r="A15" s="96">
        <v>1</v>
      </c>
      <c r="B15" s="97" t="s">
        <v>93</v>
      </c>
      <c r="C15" s="97"/>
      <c r="D15" s="98">
        <v>45886</v>
      </c>
      <c r="E15" s="99" t="s">
        <v>19</v>
      </c>
      <c r="F15" s="59">
        <v>2500</v>
      </c>
      <c r="G15" s="59"/>
      <c r="H15" s="59">
        <v>1275000</v>
      </c>
      <c r="I15" s="59">
        <v>2500</v>
      </c>
      <c r="J15" s="59">
        <v>549.41795999999999</v>
      </c>
      <c r="K15" s="59">
        <v>1373544.9</v>
      </c>
      <c r="L15" s="59"/>
      <c r="M15" s="59"/>
      <c r="N15" s="59">
        <v>0</v>
      </c>
      <c r="O15" s="59"/>
      <c r="P15" s="59">
        <v>98544.899999999907</v>
      </c>
      <c r="Q15" s="59"/>
      <c r="R15" s="59">
        <v>4296.75</v>
      </c>
      <c r="S15" s="59">
        <v>25</v>
      </c>
      <c r="T15" s="59">
        <v>4321.75</v>
      </c>
      <c r="U15" s="59">
        <v>1279321.75</v>
      </c>
      <c r="V15" s="59">
        <v>4747.0999999999995</v>
      </c>
      <c r="W15" s="59">
        <v>25</v>
      </c>
      <c r="X15" s="59">
        <v>4772.0999999999995</v>
      </c>
      <c r="Y15" s="59">
        <v>8945.0499999999993</v>
      </c>
      <c r="Z15" s="59">
        <v>1359827.7499999998</v>
      </c>
      <c r="AA15" s="59">
        <v>1279321.75</v>
      </c>
      <c r="AB15" s="59">
        <v>0</v>
      </c>
      <c r="AC15" s="59">
        <v>0</v>
      </c>
      <c r="AD15" s="59">
        <v>89451.04999999977</v>
      </c>
    </row>
  </sheetData>
  <mergeCells count="16">
    <mergeCell ref="AB13:AB14"/>
    <mergeCell ref="AC13:AC14"/>
    <mergeCell ref="AD13:AD14"/>
    <mergeCell ref="R13:T13"/>
    <mergeCell ref="V13:X13"/>
    <mergeCell ref="Y13:Y14"/>
    <mergeCell ref="Z13:Z14"/>
    <mergeCell ref="AA13:AA14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7E4E53-7340-4D3E-B98A-0EEB8E1C1192}">
          <x14:formula1>
            <xm:f>VALIDATION!$A$2:$A$7</xm:f>
          </x14:formula1>
          <xm:sqref>E7:E9 E15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1FD9-0937-4B02-9B26-6BC9D4E9A2D2}">
  <dimension ref="A1:AE14"/>
  <sheetViews>
    <sheetView workbookViewId="0">
      <selection activeCell="AD12" sqref="A12:AD13"/>
    </sheetView>
  </sheetViews>
  <sheetFormatPr defaultRowHeight="15" x14ac:dyDescent="0.25"/>
  <cols>
    <col min="2" max="2" width="8.140625" bestFit="1" customWidth="1"/>
    <col min="3" max="3" width="18.5703125" customWidth="1"/>
    <col min="4" max="4" width="10.28515625" bestFit="1" customWidth="1"/>
    <col min="6" max="6" width="11.42578125" bestFit="1" customWidth="1"/>
    <col min="7" max="7" width="9.28515625" bestFit="1" customWidth="1"/>
    <col min="8" max="8" width="15.5703125" bestFit="1" customWidth="1"/>
    <col min="9" max="9" width="10.85546875" bestFit="1" customWidth="1"/>
    <col min="10" max="10" width="9.5703125" customWidth="1"/>
    <col min="11" max="11" width="12.42578125" bestFit="1" customWidth="1"/>
    <col min="12" max="12" width="13.5703125" bestFit="1" customWidth="1"/>
    <col min="13" max="13" width="15.140625" bestFit="1" customWidth="1"/>
    <col min="14" max="14" width="14.5703125" bestFit="1" customWidth="1"/>
    <col min="15" max="15" width="11.42578125" bestFit="1" customWidth="1"/>
    <col min="16" max="16" width="15.140625" bestFit="1" customWidth="1"/>
    <col min="17" max="17" width="13.85546875" bestFit="1" customWidth="1"/>
    <col min="18" max="18" width="9.5703125" bestFit="1" customWidth="1"/>
    <col min="20" max="20" width="9.5703125" bestFit="1" customWidth="1"/>
    <col min="21" max="21" width="15.5703125" bestFit="1" customWidth="1"/>
    <col min="22" max="22" width="10" bestFit="1" customWidth="1"/>
    <col min="23" max="24" width="11.42578125" bestFit="1" customWidth="1"/>
    <col min="25" max="25" width="8.42578125" bestFit="1" customWidth="1"/>
    <col min="26" max="26" width="12.42578125" bestFit="1" customWidth="1"/>
    <col min="27" max="27" width="16.140625" customWidth="1"/>
    <col min="28" max="28" width="15.5703125" bestFit="1" customWidth="1"/>
    <col min="29" max="29" width="11.42578125" customWidth="1"/>
    <col min="30" max="30" width="12.1406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95</v>
      </c>
      <c r="C7" s="6"/>
      <c r="D7" s="7">
        <v>45855</v>
      </c>
      <c r="E7" s="8" t="s">
        <v>19</v>
      </c>
      <c r="F7" s="9">
        <v>7798</v>
      </c>
      <c r="G7" s="9">
        <v>317.27999999999997</v>
      </c>
      <c r="H7" s="9">
        <f>Table2428308910131415161718192021[[#This Row],[Purchase QTY]]*Table2428308910131415161718192021[[#This Row],[PPPU]]</f>
        <v>2474149.44</v>
      </c>
      <c r="I7" s="9"/>
      <c r="J7" s="9"/>
      <c r="K7" s="9"/>
      <c r="L7" s="9"/>
      <c r="M7" s="9">
        <f>Table2428308910131415161718192021[[#This Row],[Total Purchase Amount]]</f>
        <v>2474149.44</v>
      </c>
      <c r="N7" s="9">
        <f>IF(Table2428308910131415161718192021[[#This Row],[Txn Type]]="opening",Table2428308910131415161718192021[[#This Row],[Purchase QTY]],"Error")</f>
        <v>7798</v>
      </c>
      <c r="O7" s="42">
        <f>IFERROR(Table2428308910131415161718192021[[#This Row],[TC AP NFRS]]/Table2428308910131415161718192021[[#This Row],[Unit Sum]],0)</f>
        <v>317.27999999999997</v>
      </c>
      <c r="P7" s="10">
        <f>Table2428308910131415161718192021[[#This Row],[Sales Amt]]-Table2428308910131415161718192021[[#This Row],[Principal Cost As per  NFRS (In case of Sales)]]</f>
        <v>0</v>
      </c>
      <c r="R7" s="17"/>
      <c r="S7" s="17"/>
      <c r="T7" s="20">
        <f>R7+S7</f>
        <v>0</v>
      </c>
      <c r="U7" s="20">
        <f>AB7</f>
        <v>2667025.9639261896</v>
      </c>
      <c r="V7" s="20"/>
      <c r="W7" s="20"/>
      <c r="X7" s="20"/>
      <c r="Y7" s="46"/>
      <c r="Z7" s="46"/>
      <c r="AA7" s="46"/>
      <c r="AB7" s="46">
        <f>F7*AC7</f>
        <v>2667025.9639261896</v>
      </c>
      <c r="AC7" s="46">
        <v>342.01410155503839</v>
      </c>
      <c r="AD7" s="56"/>
    </row>
    <row r="8" spans="1:31" x14ac:dyDescent="0.25">
      <c r="A8" s="5">
        <f>A7+1</f>
        <v>2</v>
      </c>
      <c r="B8" s="6" t="s">
        <v>95</v>
      </c>
      <c r="C8" s="6" t="s">
        <v>96</v>
      </c>
      <c r="D8" s="7">
        <v>45858</v>
      </c>
      <c r="E8" s="8" t="s">
        <v>55</v>
      </c>
      <c r="F8" s="9">
        <v>500</v>
      </c>
      <c r="G8" s="9">
        <f>Table2428308910131415161718192021[[#This Row],[Total Purchase Amount]]/Table2428308910131415161718192021[[#This Row],[Purchase QTY]]</f>
        <v>330</v>
      </c>
      <c r="H8" s="9">
        <v>165000</v>
      </c>
      <c r="I8" s="9">
        <v>0</v>
      </c>
      <c r="J8" s="9">
        <f>IFERROR(Table2428308910131415161718192021[[#This Row],[Sales Amt]]/Table2428308910131415161718192021[[#This Row],[Sales Qty]],0)</f>
        <v>0</v>
      </c>
      <c r="K8" s="9">
        <v>0</v>
      </c>
      <c r="L8" s="9">
        <f>Table2428308910131415161718192021[[#This Row],[Sales Qty]]*O7</f>
        <v>0</v>
      </c>
      <c r="M8" s="9">
        <f>M7+Table2428308910131415161718192021[[#This Row],[Total Purchase Amount]]-Table2428308910131415161718192021[[#This Row],[Principal Cost As per  NFRS (In case of Sales)]]</f>
        <v>2639149.44</v>
      </c>
      <c r="N8" s="9">
        <f>N7+Table2428308910131415161718192021[[#This Row],[Purchase QTY]]-Table2428308910131415161718192021[[#This Row],[Sales Qty]]</f>
        <v>8298</v>
      </c>
      <c r="O8" s="42">
        <f>IFERROR(Table2428308910131415161718192021[[#This Row],[TC AP NFRS]]/Table2428308910131415161718192021[[#This Row],[Unit Sum]],0)</f>
        <v>318.04644974692695</v>
      </c>
      <c r="P8" s="10">
        <f>Table2428308910131415161718192021[[#This Row],[Sales Amt]]-Table2428308910131415161718192021[[#This Row],[Principal Cost As per  NFRS (In case of Sales)]]</f>
        <v>0</v>
      </c>
      <c r="R8" s="17">
        <f>24.75+544.5</f>
        <v>569.25</v>
      </c>
      <c r="S8" s="17">
        <v>25</v>
      </c>
      <c r="T8" s="20">
        <f>R8+S8</f>
        <v>594.25</v>
      </c>
      <c r="U8" s="20">
        <f>H8+T8</f>
        <v>165594.25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2832620.2139261896</v>
      </c>
      <c r="AC8" s="20">
        <f>IFERROR(AB8/N8,0)</f>
        <v>341.36179970187874</v>
      </c>
      <c r="AD8" s="56">
        <f>Z8-AA8+Y8</f>
        <v>0</v>
      </c>
    </row>
    <row r="9" spans="1:31" x14ac:dyDescent="0.25">
      <c r="A9" s="5">
        <f t="shared" ref="A9" si="0">A8+1</f>
        <v>3</v>
      </c>
      <c r="B9" s="6"/>
      <c r="C9" s="6"/>
      <c r="D9" s="7"/>
      <c r="E9" s="8"/>
      <c r="F9" s="9">
        <v>0</v>
      </c>
      <c r="G9" s="9">
        <f>IF(Table2428308910131415161718192021[[#This Row],[SPPU]]&gt;=0,0,Table2428308910131415161718192021[[#This Row],[Total Purchase Amount]]/Table2428308910131415161718192021[[#This Row],[Purchase QTY]])</f>
        <v>0</v>
      </c>
      <c r="H9" s="9">
        <v>0</v>
      </c>
      <c r="I9" s="9"/>
      <c r="J9" s="9">
        <f>IFERROR(Table2428308910131415161718192021[[#This Row],[Sales Amt]]/Table2428308910131415161718192021[[#This Row],[Sales Qty]],0)</f>
        <v>0</v>
      </c>
      <c r="K9" s="9">
        <v>0</v>
      </c>
      <c r="L9" s="9">
        <f>Table2428308910131415161718192021[[#This Row],[Sales Qty]]*O8</f>
        <v>0</v>
      </c>
      <c r="M9" s="9">
        <f>M8+Table2428308910131415161718192021[[#This Row],[Total Purchase Amount]]-Table2428308910131415161718192021[[#This Row],[Principal Cost As per  NFRS (In case of Sales)]]</f>
        <v>2639149.44</v>
      </c>
      <c r="N9" s="9">
        <f>N8+Table2428308910131415161718192021[[#This Row],[Purchase QTY]]-Table2428308910131415161718192021[[#This Row],[Sales Qty]]</f>
        <v>8298</v>
      </c>
      <c r="O9" s="42">
        <f>IFERROR(Table2428308910131415161718192021[[#This Row],[TC AP NFRS]]/Table2428308910131415161718192021[[#This Row],[Unit Sum]],0)</f>
        <v>318.04644974692695</v>
      </c>
      <c r="P9" s="10">
        <f>Table2428308910131415161718192021[[#This Row],[Sales Amt]]-Table2428308910131415161718192021[[#This Row],[Principal Cost As per  NFRS (In case of Sales)]]</f>
        <v>0</v>
      </c>
      <c r="R9" s="17"/>
      <c r="S9" s="17"/>
      <c r="T9" s="20">
        <f>R9+S9</f>
        <v>0</v>
      </c>
      <c r="U9" s="20">
        <f>H9+T9</f>
        <v>0</v>
      </c>
      <c r="V9" s="20">
        <v>0</v>
      </c>
      <c r="W9" s="20">
        <v>0</v>
      </c>
      <c r="X9" s="55">
        <f>V9+W9</f>
        <v>0</v>
      </c>
      <c r="Y9" s="20">
        <v>0</v>
      </c>
      <c r="Z9" s="20">
        <f>K9-X9-Y9</f>
        <v>0</v>
      </c>
      <c r="AA9" s="20">
        <f>I9*AC8</f>
        <v>0</v>
      </c>
      <c r="AB9" s="20">
        <f>AB8+U9-AA9</f>
        <v>2832620.2139261896</v>
      </c>
      <c r="AC9" s="20">
        <f>IFERROR(AB9/N9,0)</f>
        <v>341.36179970187874</v>
      </c>
      <c r="AD9" s="56">
        <f>Z9-AA9+Y9</f>
        <v>0</v>
      </c>
    </row>
    <row r="10" spans="1:31" ht="15.75" x14ac:dyDescent="0.25">
      <c r="A10" s="11" t="s">
        <v>22</v>
      </c>
      <c r="B10" s="12"/>
      <c r="C10" s="12"/>
      <c r="D10" s="13"/>
      <c r="E10" s="14"/>
      <c r="F10" s="15">
        <f ca="1">SUM(INDIRECT("f4:f"&amp;ROW()-1))</f>
        <v>8298</v>
      </c>
      <c r="G10" s="15"/>
      <c r="H10" s="15">
        <f ca="1">SUM(INDIRECT("h4:h"&amp;ROW()-1))</f>
        <v>2639149.44</v>
      </c>
      <c r="I10" s="15">
        <f ca="1">SUM(INDIRECT("i4:i"&amp;ROW()-1))</f>
        <v>0</v>
      </c>
      <c r="J10" s="15">
        <f ca="1">SUM(INDIRECT("j4:j"&amp;ROW()-1))</f>
        <v>0</v>
      </c>
      <c r="K10" s="15">
        <f ca="1">SUM(INDIRECT("k4:k"&amp;ROW()-1))</f>
        <v>0</v>
      </c>
      <c r="L10" s="15">
        <f>SUM(L7:L9)</f>
        <v>0</v>
      </c>
      <c r="M10" s="15">
        <f ca="1">Table2428308910131415161718192021[[#This Row],[Total Purchase Amount]]-Table2428308910131415161718192021[[#This Row],[Principal Cost As per  NFRS (In case of Sales)]]</f>
        <v>2639149.44</v>
      </c>
      <c r="N10" s="15">
        <f ca="1">Table2428308910131415161718192021[[#This Row],[Purchase QTY]]-Table2428308910131415161718192021[[#This Row],[Sales Qty]]</f>
        <v>8298</v>
      </c>
      <c r="O10" s="43">
        <f ca="1">Table2428308910131415161718192021[[#This Row],[TC AP NFRS]]/Table2428308910131415161718192021[[#This Row],[Unit Sum]]</f>
        <v>318.04644974692695</v>
      </c>
      <c r="P10" s="15">
        <f ca="1">SUM(INDIRECT("p4:p"&amp;ROW()-1))</f>
        <v>0</v>
      </c>
      <c r="R10" s="24">
        <f>SUM(R7:R9)</f>
        <v>569.25</v>
      </c>
      <c r="S10" s="24">
        <f t="shared" ref="S10:AA10" si="1">SUM(S7:S9)</f>
        <v>25</v>
      </c>
      <c r="T10" s="24">
        <f>SUM(T7:T9)</f>
        <v>594.25</v>
      </c>
      <c r="U10" s="24">
        <f>SUM(U7:U9)</f>
        <v>2832620.2139261896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>U10-AA10</f>
        <v>2832620.2139261896</v>
      </c>
      <c r="AC10" s="24">
        <f ca="1">AB10/Table2428308910131415161718192021[[#This Row],[Unit Sum]]</f>
        <v>341.36179970187874</v>
      </c>
      <c r="AD10" s="24">
        <f>SUM(AD7:AD9)</f>
        <v>0</v>
      </c>
    </row>
    <row r="12" spans="1:31" x14ac:dyDescent="0.25">
      <c r="A12" t="s">
        <v>882</v>
      </c>
      <c r="R12" s="120" t="s">
        <v>20</v>
      </c>
      <c r="S12" s="121"/>
      <c r="T12" s="121"/>
      <c r="U12" s="50"/>
      <c r="V12" s="120" t="s">
        <v>67</v>
      </c>
      <c r="W12" s="121"/>
      <c r="X12" s="121"/>
      <c r="Y12" s="123" t="s">
        <v>13</v>
      </c>
      <c r="Z12" s="124" t="s">
        <v>10</v>
      </c>
      <c r="AA12" s="125" t="s">
        <v>66</v>
      </c>
      <c r="AB12" s="123" t="s">
        <v>15</v>
      </c>
      <c r="AC12" s="123" t="s">
        <v>18</v>
      </c>
      <c r="AD12" s="123" t="s">
        <v>12</v>
      </c>
    </row>
    <row r="13" spans="1:31" ht="75" x14ac:dyDescent="0.25">
      <c r="A13" s="1" t="s">
        <v>57</v>
      </c>
      <c r="B13" s="2" t="s">
        <v>0</v>
      </c>
      <c r="C13" s="2" t="s">
        <v>53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51</v>
      </c>
      <c r="I13" s="2" t="s">
        <v>6</v>
      </c>
      <c r="J13" s="16" t="s">
        <v>7</v>
      </c>
      <c r="K13" s="16" t="s">
        <v>8</v>
      </c>
      <c r="L13" s="2" t="s">
        <v>50</v>
      </c>
      <c r="M13" s="2" t="s">
        <v>14</v>
      </c>
      <c r="N13" s="2" t="s">
        <v>16</v>
      </c>
      <c r="O13" s="4" t="s">
        <v>17</v>
      </c>
      <c r="P13" s="3" t="s">
        <v>11</v>
      </c>
      <c r="R13" s="2" t="s">
        <v>65</v>
      </c>
      <c r="S13" s="2" t="s">
        <v>62</v>
      </c>
      <c r="T13" s="2" t="s">
        <v>5</v>
      </c>
      <c r="U13" s="2" t="s">
        <v>164</v>
      </c>
      <c r="V13" s="16" t="s">
        <v>64</v>
      </c>
      <c r="W13" s="16" t="s">
        <v>62</v>
      </c>
      <c r="X13" s="45" t="s">
        <v>9</v>
      </c>
      <c r="Y13" s="123"/>
      <c r="Z13" s="124"/>
      <c r="AA13" s="125"/>
      <c r="AB13" s="123"/>
      <c r="AC13" s="123"/>
      <c r="AD13" s="123"/>
    </row>
    <row r="14" spans="1:31" x14ac:dyDescent="0.25">
      <c r="A14" s="96">
        <v>1</v>
      </c>
      <c r="B14" s="97" t="s">
        <v>95</v>
      </c>
      <c r="C14" s="97"/>
      <c r="D14" s="98">
        <v>45886</v>
      </c>
      <c r="E14" s="99" t="s">
        <v>19</v>
      </c>
      <c r="F14" s="59">
        <v>8298</v>
      </c>
      <c r="G14" s="59"/>
      <c r="H14" s="59">
        <v>2639149.44</v>
      </c>
      <c r="I14" s="59">
        <v>0</v>
      </c>
      <c r="J14" s="59">
        <v>0</v>
      </c>
      <c r="K14" s="59">
        <v>0</v>
      </c>
      <c r="L14" s="59">
        <v>0</v>
      </c>
      <c r="M14" s="59">
        <v>2639149.44</v>
      </c>
      <c r="N14" s="59">
        <v>8298</v>
      </c>
      <c r="O14" s="59">
        <v>318.04644974692695</v>
      </c>
      <c r="P14" s="59">
        <v>0</v>
      </c>
      <c r="Q14" s="59"/>
      <c r="R14" s="59">
        <v>569.25</v>
      </c>
      <c r="S14" s="59">
        <v>25</v>
      </c>
      <c r="T14" s="59">
        <v>594.25</v>
      </c>
      <c r="U14" s="59">
        <v>2832620.2139261896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2832620.2139261896</v>
      </c>
      <c r="AC14" s="59">
        <v>341.36179970187874</v>
      </c>
      <c r="AD14" s="59">
        <v>0</v>
      </c>
    </row>
  </sheetData>
  <mergeCells count="16">
    <mergeCell ref="AB12:AB13"/>
    <mergeCell ref="AC12:AC13"/>
    <mergeCell ref="AD12:AD13"/>
    <mergeCell ref="R12:T12"/>
    <mergeCell ref="V12:X12"/>
    <mergeCell ref="Y12:Y13"/>
    <mergeCell ref="Z12:Z13"/>
    <mergeCell ref="AA12:AA13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2F09C8-2E7B-4BC5-B698-8D261520CF87}">
          <x14:formula1>
            <xm:f>VALIDATION!$A$2:$A$7</xm:f>
          </x14:formula1>
          <xm:sqref>E7:E9 E14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346E-1190-4D62-9677-29DE1022B9CC}">
  <dimension ref="A1:AD15"/>
  <sheetViews>
    <sheetView view="pageBreakPreview" zoomScaleNormal="100" zoomScaleSheetLayoutView="100" workbookViewId="0">
      <selection activeCell="AD13" sqref="A13:AD14"/>
    </sheetView>
  </sheetViews>
  <sheetFormatPr defaultRowHeight="15" x14ac:dyDescent="0.25"/>
  <cols>
    <col min="2" max="2" width="9.140625" customWidth="1"/>
    <col min="3" max="3" width="16.85546875" customWidth="1"/>
    <col min="4" max="4" width="10.28515625" bestFit="1" customWidth="1"/>
    <col min="6" max="6" width="11.42578125" bestFit="1" customWidth="1"/>
    <col min="7" max="7" width="9.28515625" bestFit="1" customWidth="1"/>
    <col min="8" max="8" width="14.85546875" bestFit="1" customWidth="1"/>
    <col min="9" max="10" width="8" bestFit="1" customWidth="1"/>
    <col min="11" max="11" width="11" bestFit="1" customWidth="1"/>
    <col min="12" max="12" width="13.5703125" customWidth="1"/>
    <col min="13" max="13" width="13.42578125" bestFit="1" customWidth="1"/>
    <col min="14" max="14" width="11" bestFit="1" customWidth="1"/>
    <col min="15" max="15" width="9.42578125" bestFit="1" customWidth="1"/>
    <col min="16" max="16" width="13" bestFit="1" customWidth="1"/>
    <col min="17" max="17" width="2.42578125" customWidth="1"/>
    <col min="18" max="18" width="15.5703125" bestFit="1" customWidth="1"/>
    <col min="20" max="20" width="11.42578125" bestFit="1" customWidth="1"/>
    <col min="21" max="21" width="13.85546875" bestFit="1" customWidth="1"/>
    <col min="26" max="27" width="11.42578125" bestFit="1" customWidth="1"/>
    <col min="28" max="28" width="13.85546875" bestFit="1" customWidth="1"/>
    <col min="29" max="29" width="11.42578125" bestFit="1" customWidth="1"/>
    <col min="30" max="30" width="9.140625" bestFit="1" customWidth="1"/>
  </cols>
  <sheetData>
    <row r="1" spans="1:30" ht="18.75" x14ac:dyDescent="0.3">
      <c r="A1" s="67" t="s">
        <v>177</v>
      </c>
    </row>
    <row r="2" spans="1:30" ht="18.75" x14ac:dyDescent="0.3">
      <c r="A2" s="67" t="s">
        <v>178</v>
      </c>
    </row>
    <row r="3" spans="1:30" ht="18.75" x14ac:dyDescent="0.3">
      <c r="A3" s="67" t="s">
        <v>179</v>
      </c>
    </row>
    <row r="5" spans="1:30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0" ht="57.95" customHeight="1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</row>
    <row r="7" spans="1:30" x14ac:dyDescent="0.25">
      <c r="A7" s="5">
        <v>1</v>
      </c>
      <c r="B7" s="6" t="s">
        <v>100</v>
      </c>
      <c r="C7" s="6"/>
      <c r="D7" s="7">
        <v>45855</v>
      </c>
      <c r="E7" s="8" t="s">
        <v>19</v>
      </c>
      <c r="F7" s="9">
        <v>15</v>
      </c>
      <c r="G7" s="9">
        <v>291.69</v>
      </c>
      <c r="H7" s="9">
        <f>Table24283022[[#This Row],[PPPU]]*Table24283022[[#This Row],[Purchase QTY]]</f>
        <v>4375.3500000000004</v>
      </c>
      <c r="I7" s="9"/>
      <c r="J7" s="9"/>
      <c r="K7" s="9">
        <f>Table24283022[[#This Row],[Sales Qty]]*Table24283022[[#This Row],[SPPU]]</f>
        <v>0</v>
      </c>
      <c r="L7" s="9"/>
      <c r="M7" s="9">
        <f>Table24283022[[#This Row],[Total Purchase Amount]]</f>
        <v>4375.3500000000004</v>
      </c>
      <c r="N7" s="9">
        <f>IF(Table24283022[[#This Row],[Txn Type]]="opening",Table24283022[[#This Row],[Purchase QTY]],"Error")</f>
        <v>15</v>
      </c>
      <c r="O7" s="42">
        <f>IFERROR(Table24283022[[#This Row],[TC AP NFRS]]/Table24283022[[#This Row],[Unit Sum]],0)</f>
        <v>291.69</v>
      </c>
      <c r="P7" s="10">
        <f>Table24283022[[#This Row],[Sales Amt]]-Table24283022[[#This Row],[Principal Cost As per  NFRS (In case of Sales)]]</f>
        <v>0</v>
      </c>
      <c r="R7" s="17"/>
      <c r="S7" s="17"/>
      <c r="T7" s="20">
        <f>R7+S7</f>
        <v>0</v>
      </c>
      <c r="U7" s="20">
        <f>AB7</f>
        <v>4621.2</v>
      </c>
      <c r="V7" s="20"/>
      <c r="W7" s="20"/>
      <c r="X7" s="20"/>
      <c r="Y7" s="46"/>
      <c r="Z7" s="46"/>
      <c r="AA7" s="46"/>
      <c r="AB7" s="46">
        <f>F7*AC7</f>
        <v>4621.2</v>
      </c>
      <c r="AC7" s="46">
        <v>308.08</v>
      </c>
      <c r="AD7" s="56"/>
    </row>
    <row r="8" spans="1:30" ht="30" x14ac:dyDescent="0.25">
      <c r="A8" s="5">
        <v>2</v>
      </c>
      <c r="B8" s="6" t="s">
        <v>100</v>
      </c>
      <c r="C8" s="6" t="s">
        <v>101</v>
      </c>
      <c r="D8" s="7">
        <v>45860</v>
      </c>
      <c r="E8" s="8" t="s">
        <v>21</v>
      </c>
      <c r="F8" s="9">
        <v>0</v>
      </c>
      <c r="G8" s="9">
        <f>IF(Table24283022[[#This Row],[SPPU]]&gt;0,0,Table24283022[[#This Row],[Total Purchase Amount]]/Table24283022[[#This Row],[Purchase QTY]])</f>
        <v>0</v>
      </c>
      <c r="H8" s="9">
        <v>0</v>
      </c>
      <c r="I8" s="9">
        <v>15</v>
      </c>
      <c r="J8" s="9">
        <v>305</v>
      </c>
      <c r="K8" s="9">
        <f>Table24283022[[#This Row],[Sales Qty]]*Table24283022[[#This Row],[SPPU]]</f>
        <v>4575</v>
      </c>
      <c r="L8" s="9">
        <f>Table24283022[[#This Row],[Sales Qty]]*O7</f>
        <v>4375.3500000000004</v>
      </c>
      <c r="M8" s="9">
        <f>M7+Table24283022[[#This Row],[Total Purchase Amount]]-Table24283022[[#This Row],[Principal Cost As per  NFRS (In case of Sales)]]</f>
        <v>0</v>
      </c>
      <c r="N8" s="9">
        <f>N7+Table24283022[[#This Row],[Purchase QTY]]-Table24283022[[#This Row],[Sales Qty]]</f>
        <v>0</v>
      </c>
      <c r="O8" s="42">
        <f>IFERROR(Table24283022[[#This Row],[TC AP NFRS]]/Table24283022[[#This Row],[Unit Sum]],0)</f>
        <v>0</v>
      </c>
      <c r="P8" s="10">
        <f>Table24283022[[#This Row],[Sales Amt]]-Table24283022[[#This Row],[Principal Cost As per  NFRS (In case of Sales)]]</f>
        <v>199.64999999999964</v>
      </c>
      <c r="R8" s="17">
        <v>0</v>
      </c>
      <c r="S8" s="17"/>
      <c r="T8" s="20">
        <f>R8+S8</f>
        <v>0</v>
      </c>
      <c r="U8" s="20">
        <f>H8+T8</f>
        <v>0</v>
      </c>
      <c r="V8" s="20">
        <f>0.69+16.47</f>
        <v>17.16</v>
      </c>
      <c r="W8" s="20">
        <v>25</v>
      </c>
      <c r="X8" s="55">
        <f>V8+W8</f>
        <v>42.16</v>
      </c>
      <c r="Y8" s="20">
        <v>0</v>
      </c>
      <c r="Z8" s="20">
        <f>K8-X8-Y8</f>
        <v>4532.84</v>
      </c>
      <c r="AA8" s="20">
        <f>I8*AC7</f>
        <v>4621.2</v>
      </c>
      <c r="AB8" s="20">
        <f>AB7+U8-AA8</f>
        <v>0</v>
      </c>
      <c r="AC8" s="20">
        <f>IFERROR(AB8/N8,0)</f>
        <v>0</v>
      </c>
      <c r="AD8" s="64">
        <f>Z8-AA8+Y8</f>
        <v>-88.359999999999673</v>
      </c>
    </row>
    <row r="9" spans="1:30" ht="30" x14ac:dyDescent="0.25">
      <c r="A9" s="5">
        <v>2</v>
      </c>
      <c r="B9" s="6" t="s">
        <v>100</v>
      </c>
      <c r="C9" s="6" t="s">
        <v>120</v>
      </c>
      <c r="D9" s="7">
        <v>45865</v>
      </c>
      <c r="E9" s="8" t="s">
        <v>55</v>
      </c>
      <c r="F9" s="9">
        <v>1000</v>
      </c>
      <c r="G9" s="9">
        <f>Table24283022[[#This Row],[Total Purchase Amount]]/Table24283022[[#This Row],[Purchase QTY]]</f>
        <v>324.5</v>
      </c>
      <c r="H9" s="9">
        <v>324500</v>
      </c>
      <c r="I9" s="9">
        <v>0</v>
      </c>
      <c r="J9" s="9"/>
      <c r="K9" s="9">
        <f>Table24283022[[#This Row],[Sales Qty]]*Table24283022[[#This Row],[SPPU]]</f>
        <v>0</v>
      </c>
      <c r="L9" s="9"/>
      <c r="M9" s="9">
        <f>M8+Table24283022[[#This Row],[Total Purchase Amount]]-Table24283022[[#This Row],[Principal Cost As per  NFRS (In case of Sales)]]</f>
        <v>324500</v>
      </c>
      <c r="N9" s="9">
        <f>N8+Table24283022[[#This Row],[Purchase QTY]]-Table24283022[[#This Row],[Sales Qty]]</f>
        <v>1000</v>
      </c>
      <c r="O9" s="42">
        <f>Table24283022[[#This Row],[TC AP NFRS]]/Table24283022[[#This Row],[Unit Sum]]</f>
        <v>324.5</v>
      </c>
      <c r="P9" s="10">
        <f>Table24283022[[#This Row],[Sales Amt]]-Table24283022[[#This Row],[Principal Cost As per  NFRS (In case of Sales)]]</f>
        <v>0</v>
      </c>
      <c r="R9" s="17">
        <f>48.67+1090.32</f>
        <v>1138.99</v>
      </c>
      <c r="S9" s="17">
        <v>25</v>
      </c>
      <c r="T9" s="20">
        <f>R9+S9</f>
        <v>1163.99</v>
      </c>
      <c r="U9" s="20">
        <f>H9+T9</f>
        <v>325663.99</v>
      </c>
      <c r="V9" s="20">
        <v>0</v>
      </c>
      <c r="W9" s="20">
        <v>0</v>
      </c>
      <c r="X9" s="55">
        <f>V9+W9</f>
        <v>0</v>
      </c>
      <c r="Y9" s="20">
        <v>0</v>
      </c>
      <c r="Z9" s="20">
        <f>K9-X9-Y9</f>
        <v>0</v>
      </c>
      <c r="AA9" s="20">
        <f>I9*AC8</f>
        <v>0</v>
      </c>
      <c r="AB9" s="20">
        <f>AB8+U9-AA9</f>
        <v>325663.99</v>
      </c>
      <c r="AC9" s="20">
        <f>IFERROR(AB9/N9,0)</f>
        <v>325.66399000000001</v>
      </c>
      <c r="AD9" s="56">
        <f>Z9-AA9+Y9</f>
        <v>0</v>
      </c>
    </row>
    <row r="10" spans="1:30" ht="15.75" x14ac:dyDescent="0.25">
      <c r="A10" s="11" t="s">
        <v>22</v>
      </c>
      <c r="B10" s="12"/>
      <c r="C10" s="12"/>
      <c r="D10" s="13"/>
      <c r="E10" s="14"/>
      <c r="F10" s="15">
        <f ca="1">SUM(INDIRECT("f4:f"&amp;ROW()-1))</f>
        <v>1015</v>
      </c>
      <c r="G10" s="15"/>
      <c r="H10" s="15">
        <f ca="1">SUM(INDIRECT("h4:h"&amp;ROW()-1))</f>
        <v>328875.34999999998</v>
      </c>
      <c r="I10" s="15">
        <f ca="1">SUM(INDIRECT("i4:i"&amp;ROW()-1))</f>
        <v>15</v>
      </c>
      <c r="J10" s="15"/>
      <c r="K10" s="15">
        <f ca="1">SUM(INDIRECT("k4:k"&amp;ROW()-1))</f>
        <v>4575</v>
      </c>
      <c r="L10" s="15">
        <f>SUM(L7:L9)</f>
        <v>4375.3500000000004</v>
      </c>
      <c r="M10" s="15">
        <f ca="1">Table24283022[[#This Row],[Total Purchase Amount]]-Table24283022[[#This Row],[Principal Cost As per  NFRS (In case of Sales)]]</f>
        <v>324500</v>
      </c>
      <c r="N10" s="15">
        <f ca="1">Table24283022[[#This Row],[Purchase QTY]]-Table24283022[[#This Row],[Sales Qty]]</f>
        <v>1000</v>
      </c>
      <c r="O10" s="43">
        <f ca="1">Table24283022[[#This Row],[TC AP NFRS]]/Table24283022[[#This Row],[Unit Sum]]</f>
        <v>324.5</v>
      </c>
      <c r="P10" s="15">
        <f>SUM(P7:P8)</f>
        <v>199.64999999999964</v>
      </c>
      <c r="R10" s="24">
        <f t="shared" ref="R10:S10" si="0">SUM(R7:R9)</f>
        <v>1138.99</v>
      </c>
      <c r="S10" s="24">
        <f t="shared" si="0"/>
        <v>25</v>
      </c>
      <c r="T10" s="24">
        <f>SUM(T7:T9)</f>
        <v>1163.99</v>
      </c>
      <c r="U10" s="24">
        <f>SUM(U7:U9)</f>
        <v>330285.19</v>
      </c>
      <c r="V10" s="24">
        <f t="shared" ref="V10:AA10" si="1">SUM(V7:V9)</f>
        <v>17.16</v>
      </c>
      <c r="W10" s="24">
        <f t="shared" si="1"/>
        <v>25</v>
      </c>
      <c r="X10" s="24">
        <f t="shared" si="1"/>
        <v>42.16</v>
      </c>
      <c r="Y10" s="24">
        <f t="shared" si="1"/>
        <v>0</v>
      </c>
      <c r="Z10" s="24">
        <f t="shared" si="1"/>
        <v>4532.84</v>
      </c>
      <c r="AA10" s="24">
        <f t="shared" si="1"/>
        <v>4621.2</v>
      </c>
      <c r="AB10" s="24">
        <f>U10-AA10</f>
        <v>325663.99</v>
      </c>
      <c r="AC10" s="24">
        <f ca="1">AB10/Table24283022[[#This Row],[Unit Sum]]</f>
        <v>325.66399000000001</v>
      </c>
      <c r="AD10" s="24">
        <f>SUM(AD7:AD9)</f>
        <v>-88.359999999999673</v>
      </c>
    </row>
    <row r="13" spans="1:30" x14ac:dyDescent="0.25">
      <c r="A13" t="s">
        <v>882</v>
      </c>
      <c r="R13" s="120" t="s">
        <v>20</v>
      </c>
      <c r="S13" s="121"/>
      <c r="T13" s="121"/>
      <c r="U13" s="50"/>
      <c r="V13" s="120" t="s">
        <v>67</v>
      </c>
      <c r="W13" s="121"/>
      <c r="X13" s="121"/>
      <c r="Y13" s="123" t="s">
        <v>13</v>
      </c>
      <c r="Z13" s="124" t="s">
        <v>10</v>
      </c>
      <c r="AA13" s="125" t="s">
        <v>66</v>
      </c>
      <c r="AB13" s="123" t="s">
        <v>15</v>
      </c>
      <c r="AC13" s="123" t="s">
        <v>18</v>
      </c>
      <c r="AD13" s="123" t="s">
        <v>12</v>
      </c>
    </row>
    <row r="14" spans="1:30" ht="75" x14ac:dyDescent="0.25">
      <c r="A14" s="1" t="s">
        <v>57</v>
      </c>
      <c r="B14" s="2" t="s">
        <v>0</v>
      </c>
      <c r="C14" s="2" t="s">
        <v>53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51</v>
      </c>
      <c r="I14" s="2" t="s">
        <v>6</v>
      </c>
      <c r="J14" s="16" t="s">
        <v>7</v>
      </c>
      <c r="K14" s="16" t="s">
        <v>8</v>
      </c>
      <c r="L14" s="2" t="s">
        <v>50</v>
      </c>
      <c r="M14" s="2" t="s">
        <v>14</v>
      </c>
      <c r="N14" s="2" t="s">
        <v>16</v>
      </c>
      <c r="O14" s="4" t="s">
        <v>17</v>
      </c>
      <c r="P14" s="3" t="s">
        <v>11</v>
      </c>
      <c r="R14" s="2" t="s">
        <v>65</v>
      </c>
      <c r="S14" s="2" t="s">
        <v>62</v>
      </c>
      <c r="T14" s="2" t="s">
        <v>5</v>
      </c>
      <c r="U14" s="2" t="s">
        <v>164</v>
      </c>
      <c r="V14" s="16" t="s">
        <v>64</v>
      </c>
      <c r="W14" s="16" t="s">
        <v>62</v>
      </c>
      <c r="X14" s="45" t="s">
        <v>9</v>
      </c>
      <c r="Y14" s="123"/>
      <c r="Z14" s="124"/>
      <c r="AA14" s="125"/>
      <c r="AB14" s="123"/>
      <c r="AC14" s="123"/>
      <c r="AD14" s="123"/>
    </row>
    <row r="15" spans="1:30" x14ac:dyDescent="0.25">
      <c r="A15" s="96">
        <v>1</v>
      </c>
      <c r="B15" s="97" t="s">
        <v>100</v>
      </c>
      <c r="C15" s="97"/>
      <c r="D15" s="98">
        <v>45886</v>
      </c>
      <c r="E15" s="99" t="s">
        <v>19</v>
      </c>
      <c r="F15" s="59">
        <v>1015</v>
      </c>
      <c r="G15" s="59"/>
      <c r="H15" s="59">
        <v>328875.34999999998</v>
      </c>
      <c r="I15" s="59">
        <v>15</v>
      </c>
      <c r="J15" s="59"/>
      <c r="K15" s="59">
        <v>4575</v>
      </c>
      <c r="L15" s="59">
        <v>4375.3500000000004</v>
      </c>
      <c r="M15" s="59">
        <v>324500</v>
      </c>
      <c r="N15" s="59">
        <v>1000</v>
      </c>
      <c r="O15" s="59">
        <v>324.5</v>
      </c>
      <c r="P15" s="59">
        <v>199.64999999999964</v>
      </c>
      <c r="Q15" s="59"/>
      <c r="R15" s="59">
        <v>1138.99</v>
      </c>
      <c r="S15" s="59">
        <v>25</v>
      </c>
      <c r="T15" s="59">
        <v>1163.99</v>
      </c>
      <c r="U15" s="59">
        <v>330285.19</v>
      </c>
      <c r="V15" s="59">
        <v>17.16</v>
      </c>
      <c r="W15" s="59">
        <v>25</v>
      </c>
      <c r="X15" s="59">
        <v>42.16</v>
      </c>
      <c r="Y15" s="59"/>
      <c r="Z15" s="59">
        <v>4532.84</v>
      </c>
      <c r="AA15" s="59">
        <v>4621.2</v>
      </c>
      <c r="AB15" s="59">
        <v>325663.99</v>
      </c>
      <c r="AC15" s="59">
        <v>325.66399000000001</v>
      </c>
      <c r="AD15" s="59">
        <v>-88.359999999999673</v>
      </c>
    </row>
  </sheetData>
  <mergeCells count="16">
    <mergeCell ref="AB13:AB14"/>
    <mergeCell ref="AC13:AC14"/>
    <mergeCell ref="AD13:AD14"/>
    <mergeCell ref="R13:T13"/>
    <mergeCell ref="V13:X13"/>
    <mergeCell ref="Y13:Y14"/>
    <mergeCell ref="Z13:Z14"/>
    <mergeCell ref="AA13:AA14"/>
    <mergeCell ref="AB5:AB6"/>
    <mergeCell ref="AC5:AC6"/>
    <mergeCell ref="AD5:AD6"/>
    <mergeCell ref="R5:T5"/>
    <mergeCell ref="V5:X5"/>
    <mergeCell ref="Y5:Y6"/>
    <mergeCell ref="Z5:Z6"/>
    <mergeCell ref="AA5:AA6"/>
  </mergeCells>
  <pageMargins left="0.2" right="0.2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04B5BA-C858-42E2-AD07-6625667792CC}">
          <x14:formula1>
            <xm:f>VALIDATION!$A$2:$A$7</xm:f>
          </x14:formula1>
          <xm:sqref>E7:E9 E15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3492-F185-4E81-9FE6-CA67EA20BA11}">
  <dimension ref="A1:AE21"/>
  <sheetViews>
    <sheetView topLeftCell="N1" zoomScaleNormal="100" workbookViewId="0">
      <selection activeCell="A19" sqref="A19:AD20"/>
    </sheetView>
  </sheetViews>
  <sheetFormatPr defaultColWidth="8.7109375" defaultRowHeight="15" x14ac:dyDescent="0.25"/>
  <cols>
    <col min="1" max="1" width="7.140625" customWidth="1"/>
    <col min="2" max="2" width="15.140625" customWidth="1"/>
    <col min="3" max="3" width="16.85546875" bestFit="1" customWidth="1"/>
    <col min="4" max="4" width="11.140625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852</v>
      </c>
      <c r="C7" s="6"/>
      <c r="D7" s="7">
        <v>45855</v>
      </c>
      <c r="E7" s="8" t="s">
        <v>19</v>
      </c>
      <c r="F7" s="9">
        <v>11172</v>
      </c>
      <c r="G7" s="9">
        <f>Table2428308910131415161718123942434445464748495051525354[[#This Row],[Total Purchase Amount]]/Table2428308910131415161718123942434445464748495051525354[[#This Row],[Purchase QTY]]</f>
        <v>495.64</v>
      </c>
      <c r="H7" s="9">
        <v>5537290.0800000001</v>
      </c>
      <c r="I7" s="9"/>
      <c r="J7" s="9"/>
      <c r="K7" s="9"/>
      <c r="L7" s="9"/>
      <c r="M7" s="9">
        <f>Table2428308910131415161718123942434445464748495051525354[[#This Row],[Total Purchase Amount]]</f>
        <v>5537290.0800000001</v>
      </c>
      <c r="N7" s="9">
        <f>IF(Table2428308910131415161718123942434445464748495051525354[[#This Row],[Txn Type]]="opening",Table2428308910131415161718123942434445464748495051525354[[#This Row],[Purchase QTY]],"Error")</f>
        <v>11172</v>
      </c>
      <c r="O7" s="42">
        <f>IFERROR(Table2428308910131415161718123942434445464748495051525354[[#This Row],[TC AP NFRS]]/Table2428308910131415161718123942434445464748495051525354[[#This Row],[Unit Sum]],0)</f>
        <v>495.64</v>
      </c>
      <c r="P7" s="10">
        <f>Table2428308910131415161718123942434445464748495051525354[[#This Row],[Sales Amt]]-Table2428308910131415161718123942434445464748495051525354[[#This Row],[Principal Cost As per  NFRS (In case of Sales)]]</f>
        <v>0</v>
      </c>
      <c r="R7" s="17"/>
      <c r="S7" s="17"/>
      <c r="T7" s="20">
        <f>R7+S7</f>
        <v>0</v>
      </c>
      <c r="U7" s="20">
        <f>AB7</f>
        <v>120957.0096</v>
      </c>
      <c r="V7" s="20"/>
      <c r="W7" s="20"/>
      <c r="X7" s="20"/>
      <c r="Y7" s="46"/>
      <c r="Z7" s="46"/>
      <c r="AA7" s="46"/>
      <c r="AB7" s="46">
        <f>F7*AC7</f>
        <v>120957.0096</v>
      </c>
      <c r="AC7" s="46">
        <v>10.8268</v>
      </c>
      <c r="AD7" s="58">
        <v>568.86369999999999</v>
      </c>
    </row>
    <row r="8" spans="1:31" x14ac:dyDescent="0.25">
      <c r="A8" s="5">
        <f>A7+1</f>
        <v>2</v>
      </c>
      <c r="B8" s="6" t="str">
        <f>B7</f>
        <v>TVCL</v>
      </c>
      <c r="C8" s="6"/>
      <c r="D8" s="7"/>
      <c r="E8" s="8"/>
      <c r="F8" s="9">
        <v>0</v>
      </c>
      <c r="G8" s="9">
        <f>IFERROR(Table2428308910131415161718123942434445464748495051525354[[#This Row],[Total Purchase Amount]]/Table2428308910131415161718123942434445464748495051525354[[#This Row],[Purchase QTY]],0)</f>
        <v>0</v>
      </c>
      <c r="H8" s="9">
        <v>0</v>
      </c>
      <c r="I8" s="9">
        <v>0</v>
      </c>
      <c r="J8" s="9" t="e">
        <f>Table2428308910131415161718123942434445464748495051525354[[#This Row],[Sales Amt]]/Table2428308910131415161718123942434445464748495051525354[[#This Row],[Sales Qty]]</f>
        <v>#DIV/0!</v>
      </c>
      <c r="K8" s="9">
        <v>0</v>
      </c>
      <c r="L8" s="9">
        <f>Table2428308910131415161718123942434445464748495051525354[[#This Row],[Sales Qty]]*O7</f>
        <v>0</v>
      </c>
      <c r="M8" s="9">
        <f>M7+Table2428308910131415161718123942434445464748495051525354[[#This Row],[Total Purchase Amount]]-Table2428308910131415161718123942434445464748495051525354[[#This Row],[Principal Cost As per  NFRS (In case of Sales)]]</f>
        <v>5537290.0800000001</v>
      </c>
      <c r="N8" s="9">
        <f>N7+Table2428308910131415161718123942434445464748495051525354[[#This Row],[Purchase QTY]]-Table2428308910131415161718123942434445464748495051525354[[#This Row],[Sales Qty]]</f>
        <v>11172</v>
      </c>
      <c r="O8" s="42">
        <f>IFERROR(Table2428308910131415161718123942434445464748495051525354[[#This Row],[TC AP NFRS]]/Table2428308910131415161718123942434445464748495051525354[[#This Row],[Unit Sum]],0)</f>
        <v>495.64</v>
      </c>
      <c r="P8" s="10">
        <f>Table2428308910131415161718123942434445464748495051525354[[#This Row],[Sales Amt]]-Table2428308910131415161718123942434445464748495051525354[[#This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120957.0096</v>
      </c>
      <c r="AC8" s="20">
        <f>IFERROR(AB8/N8,0)</f>
        <v>10.8268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IF(Table2428308910131415161718123942434445464748495051525354[[#This Row],[SPPU]]&gt;=0,0,Table2428308910131415161718123942434445464748495051525354[[#This Row],[Total Purchase Amount]]/Table2428308910131415161718123942434445464748495051525354[[#This Row],[Purchase QTY]])</f>
        <v>0</v>
      </c>
      <c r="H9" s="9">
        <v>0</v>
      </c>
      <c r="I9" s="9">
        <v>0</v>
      </c>
      <c r="J9" s="9">
        <f>IFERROR(Table2428308910131415161718123942434445464748495051525354[[#This Row],[Sales Amt]]/Table2428308910131415161718123942434445464748495051525354[[#This Row],[Sales Qty]],0)</f>
        <v>0</v>
      </c>
      <c r="K9" s="9">
        <v>0</v>
      </c>
      <c r="L9" s="9">
        <f>Table2428308910131415161718123942434445464748495051525354[[#This Row],[Sales Qty]]*O8</f>
        <v>0</v>
      </c>
      <c r="M9" s="9">
        <f>M8+Table2428308910131415161718123942434445464748495051525354[[#This Row],[Total Purchase Amount]]-Table2428308910131415161718123942434445464748495051525354[[#This Row],[Principal Cost As per  NFRS (In case of Sales)]]</f>
        <v>5537290.0800000001</v>
      </c>
      <c r="N9" s="9">
        <f>N8+Table2428308910131415161718123942434445464748495051525354[[#This Row],[Purchase QTY]]-Table2428308910131415161718123942434445464748495051525354[[#This Row],[Sales Qty]]</f>
        <v>11172</v>
      </c>
      <c r="O9" s="42">
        <f>IFERROR(Table2428308910131415161718123942434445464748495051525354[[#This Row],[TC AP NFRS]]/Table2428308910131415161718123942434445464748495051525354[[#This Row],[Unit Sum]],0)</f>
        <v>495.64</v>
      </c>
      <c r="P9" s="10">
        <f>Table2428308910131415161718123942434445464748495051525354[[#This Row],[Sales Amt]]-Table2428308910131415161718123942434445464748495051525354[[#This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120957.0096</v>
      </c>
      <c r="AC9" s="20">
        <f t="shared" ref="AC9:AC17" si="6">IFERROR(AB9/N9,0)</f>
        <v>10.8268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IF(Table2428308910131415161718123942434445464748495051525354[[#This Row],[SPPU]]&gt;=0,0,Table2428308910131415161718123942434445464748495051525354[[#This Row],[Total Purchase Amount]]/Table2428308910131415161718123942434445464748495051525354[[#This Row],[Purchase QTY]])</f>
        <v>0</v>
      </c>
      <c r="H10" s="9"/>
      <c r="I10" s="9">
        <v>0</v>
      </c>
      <c r="J10" s="9">
        <f>IFERROR(Table2428308910131415161718123942434445464748495051525354[[#This Row],[Sales Amt]]/Table2428308910131415161718123942434445464748495051525354[[#This Row],[Sales Qty]],0)</f>
        <v>0</v>
      </c>
      <c r="K10" s="9">
        <v>0</v>
      </c>
      <c r="L10" s="9">
        <f>Table2428308910131415161718123942434445464748495051525354[[#This Row],[Sales Qty]]*O9</f>
        <v>0</v>
      </c>
      <c r="M10" s="9">
        <f>M9+Table2428308910131415161718123942434445464748495051525354[[#This Row],[Total Purchase Amount]]-Table2428308910131415161718123942434445464748495051525354[[#This Row],[Principal Cost As per  NFRS (In case of Sales)]]</f>
        <v>5537290.0800000001</v>
      </c>
      <c r="N10" s="9">
        <f>N9+Table2428308910131415161718123942434445464748495051525354[[#This Row],[Purchase QTY]]-Table2428308910131415161718123942434445464748495051525354[[#This Row],[Sales Qty]]</f>
        <v>11172</v>
      </c>
      <c r="O10" s="42">
        <f>IFERROR(Table2428308910131415161718123942434445464748495051525354[[#This Row],[TC AP NFRS]]/Table2428308910131415161718123942434445464748495051525354[[#This Row],[Unit Sum]],0)</f>
        <v>495.64</v>
      </c>
      <c r="P10" s="10">
        <f>Table2428308910131415161718123942434445464748495051525354[[#This Row],[Sales Amt]]-Table2428308910131415161718123942434445464748495051525354[[#This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120957.0096</v>
      </c>
      <c r="AC10" s="20">
        <f t="shared" si="6"/>
        <v>10.8268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IF(Table2428308910131415161718123942434445464748495051525354[[#This Row],[SPPU]]&gt;=0,0,Table2428308910131415161718123942434445464748495051525354[[#This Row],[Total Purchase Amount]]/Table2428308910131415161718123942434445464748495051525354[[#This Row],[Purchase QTY]])</f>
        <v>#DIV/0!</v>
      </c>
      <c r="H11" s="9"/>
      <c r="I11" s="9">
        <v>0</v>
      </c>
      <c r="J11" s="9" t="e">
        <f>Table2428308910131415161718123942434445464748495051525354[[#This Row],[Sales Amt]]/Table2428308910131415161718123942434445464748495051525354[[#This Row],[Sales Qty]]</f>
        <v>#DIV/0!</v>
      </c>
      <c r="K11" s="9">
        <v>0</v>
      </c>
      <c r="L11" s="9">
        <f>Table2428308910131415161718123942434445464748495051525354[[#This Row],[Sales Qty]]*O10</f>
        <v>0</v>
      </c>
      <c r="M11" s="9">
        <f>M10+Table2428308910131415161718123942434445464748495051525354[[#This Row],[Total Purchase Amount]]-Table2428308910131415161718123942434445464748495051525354[[#This Row],[Principal Cost As per  NFRS (In case of Sales)]]</f>
        <v>5537290.0800000001</v>
      </c>
      <c r="N11" s="9">
        <f>N10+Table2428308910131415161718123942434445464748495051525354[[#This Row],[Purchase QTY]]-Table2428308910131415161718123942434445464748495051525354[[#This Row],[Sales Qty]]</f>
        <v>11172</v>
      </c>
      <c r="O11" s="42">
        <f>IFERROR(Table2428308910131415161718123942434445464748495051525354[[#This Row],[TC AP NFRS]]/Table2428308910131415161718123942434445464748495051525354[[#This Row],[Unit Sum]],0)</f>
        <v>495.64</v>
      </c>
      <c r="P11" s="10">
        <f>Table2428308910131415161718123942434445464748495051525354[[#This Row],[Sales Amt]]-Table2428308910131415161718123942434445464748495051525354[[#This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120957.0096</v>
      </c>
      <c r="AC11" s="20">
        <f t="shared" si="6"/>
        <v>10.8268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Table2428308910131415161718123942434445464748495051525354[[#This Row],[Total Purchase Amount]]/Table2428308910131415161718123942434445464748495051525354[[#This Row],[Purchase QTY]]</f>
        <v>#DIV/0!</v>
      </c>
      <c r="H12" s="9">
        <v>0</v>
      </c>
      <c r="I12" s="9">
        <v>0</v>
      </c>
      <c r="J12" s="9">
        <f ca="1">IFERROR(Table2428308910131415161718123942434445464748495051525354[[#This Row],[Sales Amt]]/Table2428308910131415161718123942434445464748495051525354[[#This Row],[Sales Qty]],0)</f>
        <v>0</v>
      </c>
      <c r="K12" s="9">
        <f ca="1">Table2428308910131415161718123942434445464748495051525354[[#This Row],[Sales Qty]]*Table2428308910131415161718123942434445464748495051525354[[#This Row],[SPPU]]</f>
        <v>0</v>
      </c>
      <c r="L12" s="9">
        <f>Table2428308910131415161718123942434445464748495051525354[[#This Row],[Sales Qty]]*O11</f>
        <v>0</v>
      </c>
      <c r="M12" s="9">
        <f>M11+Table2428308910131415161718123942434445464748495051525354[[#This Row],[Total Purchase Amount]]-Table2428308910131415161718123942434445464748495051525354[[#This Row],[Principal Cost As per  NFRS (In case of Sales)]]</f>
        <v>5537290.0800000001</v>
      </c>
      <c r="N12" s="9">
        <f>N11+Table2428308910131415161718123942434445464748495051525354[[#This Row],[Purchase QTY]]-Table2428308910131415161718123942434445464748495051525354[[#This Row],[Sales Qty]]</f>
        <v>11172</v>
      </c>
      <c r="O12" s="42">
        <f>IFERROR(Table2428308910131415161718123942434445464748495051525354[[#This Row],[TC AP NFRS]]/Table2428308910131415161718123942434445464748495051525354[[#This Row],[Unit Sum]],0)</f>
        <v>495.64</v>
      </c>
      <c r="P12" s="10">
        <f ca="1">Table2428308910131415161718123942434445464748495051525354[[#This Row],[Sales Amt]]-Table2428308910131415161718123942434445464748495051525354[[#This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120957.0096</v>
      </c>
      <c r="AC12" s="20">
        <f t="shared" si="6"/>
        <v>10.8268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Table2428308910131415161718123942434445464748495051525354[[#This Row],[Total Purchase Amount]]/Table2428308910131415161718123942434445464748495051525354[[#This Row],[Purchase QTY]]</f>
        <v>#DIV/0!</v>
      </c>
      <c r="H13" s="9">
        <v>0</v>
      </c>
      <c r="I13" s="9">
        <v>0</v>
      </c>
      <c r="J13" s="9">
        <f ca="1">IFERROR(Table2428308910131415161718123942434445464748495051525354[[#This Row],[Sales Amt]]/Table2428308910131415161718123942434445464748495051525354[[#This Row],[Sales Qty]],0)</f>
        <v>0</v>
      </c>
      <c r="K13" s="9">
        <f ca="1">Table2428308910131415161718123942434445464748495051525354[[#This Row],[Sales Qty]]*Table2428308910131415161718123942434445464748495051525354[[#This Row],[SPPU]]</f>
        <v>0</v>
      </c>
      <c r="L13" s="9">
        <f>Table2428308910131415161718123942434445464748495051525354[[#This Row],[Sales Qty]]*O12</f>
        <v>0</v>
      </c>
      <c r="M13" s="9">
        <f>M12+Table2428308910131415161718123942434445464748495051525354[[#This Row],[Total Purchase Amount]]-Table2428308910131415161718123942434445464748495051525354[[#This Row],[Principal Cost As per  NFRS (In case of Sales)]]</f>
        <v>5537290.0800000001</v>
      </c>
      <c r="N13" s="9">
        <f>N12+Table2428308910131415161718123942434445464748495051525354[[#This Row],[Purchase QTY]]-Table2428308910131415161718123942434445464748495051525354[[#This Row],[Sales Qty]]</f>
        <v>11172</v>
      </c>
      <c r="O13" s="42">
        <f>IFERROR(Table2428308910131415161718123942434445464748495051525354[[#This Row],[TC AP NFRS]]/Table2428308910131415161718123942434445464748495051525354[[#This Row],[Unit Sum]],0)</f>
        <v>495.64</v>
      </c>
      <c r="P13" s="10">
        <f ca="1">Table2428308910131415161718123942434445464748495051525354[[#This Row],[Sales Amt]]-Table2428308910131415161718123942434445464748495051525354[[#This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120957.0096</v>
      </c>
      <c r="AC13" s="20">
        <f t="shared" si="6"/>
        <v>10.8268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IF(Table2428308910131415161718123942434445464748495051525354[[#This Row],[SPPU]]&gt;=0,0,Table2428308910131415161718123942434445464748495051525354[[#This Row],[Total Purchase Amount]]/Table2428308910131415161718123942434445464748495051525354[[#This Row],[Purchase QTY]])</f>
        <v>0</v>
      </c>
      <c r="H14" s="9"/>
      <c r="I14" s="9">
        <v>0</v>
      </c>
      <c r="J14" s="9">
        <f>IFERROR(Table2428308910131415161718123942434445464748495051525354[[#This Row],[Sales Amt]]/Table2428308910131415161718123942434445464748495051525354[[#This Row],[Sales Qty]],0)</f>
        <v>0</v>
      </c>
      <c r="K14" s="9">
        <v>0</v>
      </c>
      <c r="L14" s="9">
        <f>Table2428308910131415161718123942434445464748495051525354[[#This Row],[Sales Qty]]*O12</f>
        <v>0</v>
      </c>
      <c r="M14" s="9">
        <f>M13+Table2428308910131415161718123942434445464748495051525354[[#This Row],[Total Purchase Amount]]-Table2428308910131415161718123942434445464748495051525354[[#This Row],[Principal Cost As per  NFRS (In case of Sales)]]</f>
        <v>5537290.0800000001</v>
      </c>
      <c r="N14" s="9">
        <f>N13+Table2428308910131415161718123942434445464748495051525354[[#This Row],[Purchase QTY]]-Table2428308910131415161718123942434445464748495051525354[[#This Row],[Sales Qty]]</f>
        <v>11172</v>
      </c>
      <c r="O14" s="42">
        <f>IFERROR(Table2428308910131415161718123942434445464748495051525354[[#This Row],[TC AP NFRS]]/Table2428308910131415161718123942434445464748495051525354[[#This Row],[Unit Sum]],0)</f>
        <v>495.64</v>
      </c>
      <c r="P14" s="10">
        <f>Table2428308910131415161718123942434445464748495051525354[[#This Row],[Sales Amt]]-Table2428308910131415161718123942434445464748495051525354[[#This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120957.0096</v>
      </c>
      <c r="AC14" s="20">
        <f t="shared" si="6"/>
        <v>10.8268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IF(Table2428308910131415161718123942434445464748495051525354[[#This Row],[SPPU]]&gt;=0,0,Table2428308910131415161718123942434445464748495051525354[[#This Row],[Total Purchase Amount]]/Table2428308910131415161718123942434445464748495051525354[[#This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Table2428308910131415161718123942434445464748495051525354[[#This Row],[Sales Qty]]*O14</f>
        <v>0</v>
      </c>
      <c r="M15" s="9">
        <f>M14+Table2428308910131415161718123942434445464748495051525354[[#This Row],[Total Purchase Amount]]-Table2428308910131415161718123942434445464748495051525354[[#This Row],[Principal Cost As per  NFRS (In case of Sales)]]</f>
        <v>5537290.0800000001</v>
      </c>
      <c r="N15" s="9">
        <f>N14+Table2428308910131415161718123942434445464748495051525354[[#This Row],[Purchase QTY]]-Table2428308910131415161718123942434445464748495051525354[[#This Row],[Sales Qty]]</f>
        <v>11172</v>
      </c>
      <c r="O15" s="42">
        <f>IFERROR(Table2428308910131415161718123942434445464748495051525354[[#This Row],[TC AP NFRS]]/Table2428308910131415161718123942434445464748495051525354[[#This Row],[Unit Sum]],0)</f>
        <v>495.64</v>
      </c>
      <c r="P15" s="10">
        <f>Table2428308910131415161718123942434445464748495051525354[[#This Row],[Sales Amt]]-Table2428308910131415161718123942434445464748495051525354[[#This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120957.0096</v>
      </c>
      <c r="AC15" s="20">
        <f t="shared" si="6"/>
        <v>10.8268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IF(Table2428308910131415161718123942434445464748495051525354[[#This Row],[SPPU]]&gt;=0,0,Table2428308910131415161718123942434445464748495051525354[[#This Row],[Total Purchase Amount]]/Table2428308910131415161718123942434445464748495051525354[[#This Row],[Purchase QTY]])</f>
        <v>#DIV/0!</v>
      </c>
      <c r="H16" s="9"/>
      <c r="I16" s="9">
        <v>0</v>
      </c>
      <c r="J16" s="9" t="e">
        <f>Table2428308910131415161718123942434445464748495051525354[[#This Row],[Sales Amt]]/Table2428308910131415161718123942434445464748495051525354[[#This Row],[Sales Qty]]</f>
        <v>#DIV/0!</v>
      </c>
      <c r="K16" s="9">
        <v>0</v>
      </c>
      <c r="L16" s="9">
        <f>Table2428308910131415161718123942434445464748495051525354[[#This Row],[Sales Qty]]*O15</f>
        <v>0</v>
      </c>
      <c r="M16" s="9">
        <f>M15+Table2428308910131415161718123942434445464748495051525354[[#This Row],[Total Purchase Amount]]-Table2428308910131415161718123942434445464748495051525354[[#This Row],[Principal Cost As per  NFRS (In case of Sales)]]</f>
        <v>5537290.0800000001</v>
      </c>
      <c r="N16" s="9">
        <f>N15+Table2428308910131415161718123942434445464748495051525354[[#This Row],[Purchase QTY]]-Table2428308910131415161718123942434445464748495051525354[[#This Row],[Sales Qty]]</f>
        <v>11172</v>
      </c>
      <c r="O16" s="42">
        <f>IFERROR(Table2428308910131415161718123942434445464748495051525354[[#This Row],[TC AP NFRS]]/Table2428308910131415161718123942434445464748495051525354[[#This Row],[Unit Sum]],0)</f>
        <v>495.64</v>
      </c>
      <c r="P16" s="10">
        <f>Table2428308910131415161718123942434445464748495051525354[[#This Row],[Sales Amt]]-Table2428308910131415161718123942434445464748495051525354[[#This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120957.0096</v>
      </c>
      <c r="AC16" s="20">
        <f t="shared" si="6"/>
        <v>10.8268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11172</v>
      </c>
      <c r="G17" s="15"/>
      <c r="H17" s="15">
        <f ca="1">SUM(INDIRECT("h4:h"&amp;ROW()-1))</f>
        <v>5537290.0800000001</v>
      </c>
      <c r="I17" s="15">
        <f ca="1">SUM(INDIRECT("i4:i"&amp;ROW()-1))</f>
        <v>0</v>
      </c>
      <c r="J17" s="15" t="e">
        <f ca="1">Table2428308910131415161718123942434445464748495051525354[[#This Row],[Sales Amt]]/Table2428308910131415161718123942434445464748495051525354[[#This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Table2428308910131415161718123942434445464748495051525354[[#This Row],[Total Purchase Amount]]-Table2428308910131415161718123942434445464748495051525354[[#This Row],[Principal Cost As per  NFRS (In case of Sales)]]</f>
        <v>5537290.0800000001</v>
      </c>
      <c r="N17" s="15">
        <f ca="1">Table2428308910131415161718123942434445464748495051525354[[#This Row],[Purchase QTY]]-Table2428308910131415161718123942434445464748495051525354[[#This Row],[Sales Qty]]</f>
        <v>11172</v>
      </c>
      <c r="O17" s="43">
        <f ca="1">IFERROR(Table2428308910131415161718123942434445464748495051525354[[#This Row],[TC AP NFRS]]/Table2428308910131415161718123942434445464748495051525354[[#This Row],[Unit Sum]],0)</f>
        <v>495.64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120957.0096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120957.0096</v>
      </c>
      <c r="AC17" s="24">
        <f t="shared" ca="1" si="6"/>
        <v>10.8268</v>
      </c>
      <c r="AD17" s="24">
        <f ca="1">SUM(AD7:AD16)</f>
        <v>568.86369999999999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852</v>
      </c>
      <c r="C21" s="97"/>
      <c r="D21" s="98">
        <v>45886</v>
      </c>
      <c r="E21" s="99" t="s">
        <v>19</v>
      </c>
      <c r="F21" s="59">
        <v>11172</v>
      </c>
      <c r="G21" s="59"/>
      <c r="H21" s="59">
        <v>5537290.0800000001</v>
      </c>
      <c r="I21" s="59"/>
      <c r="J21" s="59"/>
      <c r="K21" s="59"/>
      <c r="L21" s="59"/>
      <c r="M21" s="59">
        <v>5537290.0800000001</v>
      </c>
      <c r="N21" s="59">
        <v>11172</v>
      </c>
      <c r="O21" s="59">
        <v>495.64</v>
      </c>
      <c r="P21" s="59">
        <v>0</v>
      </c>
      <c r="Q21" s="59"/>
      <c r="R21" s="59"/>
      <c r="S21" s="59"/>
      <c r="T21" s="59"/>
      <c r="U21" s="59">
        <v>120957.0096</v>
      </c>
      <c r="V21" s="59"/>
      <c r="W21" s="59"/>
      <c r="X21" s="59"/>
      <c r="Y21" s="59"/>
      <c r="Z21" s="59"/>
      <c r="AA21" s="59"/>
      <c r="AB21" s="59">
        <v>120957.0096</v>
      </c>
      <c r="AC21" s="59">
        <v>10.8268</v>
      </c>
      <c r="AD21" s="59">
        <v>568.86369999999999</v>
      </c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2EBDBE-07D7-487F-81B9-173021A8B5DF}">
          <x14:formula1>
            <xm:f>VALIDATION!$A$2:$A$7</xm:f>
          </x14:formula1>
          <xm:sqref>E7:E16 E21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6896-E5CC-499D-A410-549608B8EA9F}">
  <dimension ref="A1:AE20"/>
  <sheetViews>
    <sheetView view="pageBreakPreview" topLeftCell="A4" zoomScale="110" zoomScaleNormal="100" zoomScaleSheetLayoutView="110" workbookViewId="0">
      <selection activeCell="AD18" sqref="A18:AD19"/>
    </sheetView>
  </sheetViews>
  <sheetFormatPr defaultRowHeight="15" x14ac:dyDescent="0.25"/>
  <cols>
    <col min="1" max="1" width="3.85546875" customWidth="1"/>
    <col min="2" max="2" width="8.140625" bestFit="1" customWidth="1"/>
    <col min="3" max="3" width="16.85546875" bestFit="1" customWidth="1"/>
    <col min="4" max="4" width="10.28515625" bestFit="1" customWidth="1"/>
    <col min="6" max="6" width="11.42578125" bestFit="1" customWidth="1"/>
    <col min="7" max="7" width="9.28515625" bestFit="1" customWidth="1"/>
    <col min="8" max="8" width="15.42578125" bestFit="1" customWidth="1"/>
    <col min="9" max="9" width="11" bestFit="1" customWidth="1"/>
    <col min="10" max="10" width="9.140625" bestFit="1" customWidth="1"/>
    <col min="11" max="12" width="15.42578125" bestFit="1" customWidth="1"/>
    <col min="13" max="13" width="13.140625" bestFit="1" customWidth="1"/>
    <col min="14" max="15" width="9.42578125" bestFit="1" customWidth="1"/>
    <col min="16" max="16" width="13.42578125" bestFit="1" customWidth="1"/>
    <col min="17" max="17" width="3.140625" customWidth="1"/>
    <col min="21" max="21" width="15.85546875" customWidth="1"/>
    <col min="22" max="22" width="11.42578125" bestFit="1" customWidth="1"/>
    <col min="23" max="23" width="8.85546875" customWidth="1"/>
    <col min="24" max="24" width="11.42578125" bestFit="1" customWidth="1"/>
    <col min="25" max="25" width="12.140625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2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104</v>
      </c>
      <c r="C7" s="6"/>
      <c r="D7" s="7">
        <v>45855</v>
      </c>
      <c r="E7" s="8" t="s">
        <v>19</v>
      </c>
      <c r="F7" s="9">
        <v>3250</v>
      </c>
      <c r="G7" s="9">
        <v>623.27</v>
      </c>
      <c r="H7" s="9">
        <f>Table24283089101314151623[[#This Row],[Purchase QTY]]*Table24283089101314151623[[#This Row],[PPPU]]</f>
        <v>2025627.5</v>
      </c>
      <c r="I7" s="9"/>
      <c r="J7" s="9"/>
      <c r="K7" s="9"/>
      <c r="L7" s="9"/>
      <c r="M7" s="9">
        <f>Table24283089101314151623[[#This Row],[Total Purchase Amount]]</f>
        <v>2025627.5</v>
      </c>
      <c r="N7" s="9">
        <f>IF(Table24283089101314151623[[#This Row],[Txn Type]]="opening",Table24283089101314151623[[#This Row],[Purchase QTY]],"Error")</f>
        <v>3250</v>
      </c>
      <c r="O7" s="42">
        <f>IFERROR(Table24283089101314151623[[#This Row],[TC AP NFRS]]/Table24283089101314151623[[#This Row],[Unit Sum]],0)</f>
        <v>623.27</v>
      </c>
      <c r="P7" s="10">
        <f>Table24283089101314151623[[#This Row],[Sales Amt]]-Table24283089101314151623[[#This Row],[Principal Cost As per  NFRS (In case of Sales)]]</f>
        <v>0</v>
      </c>
      <c r="R7" s="17"/>
      <c r="S7" s="17"/>
      <c r="T7" s="20">
        <f>R7+S7</f>
        <v>0</v>
      </c>
      <c r="U7" s="20">
        <f>AB7</f>
        <v>2109900</v>
      </c>
      <c r="V7" s="20"/>
      <c r="W7" s="20"/>
      <c r="X7" s="20"/>
      <c r="Y7" s="46"/>
      <c r="Z7" s="46"/>
      <c r="AA7" s="46"/>
      <c r="AB7" s="46">
        <f>F7*AC7</f>
        <v>2109900</v>
      </c>
      <c r="AC7" s="46">
        <v>649.20000000000005</v>
      </c>
      <c r="AD7" s="56"/>
    </row>
    <row r="8" spans="1:31" ht="30" x14ac:dyDescent="0.25">
      <c r="A8" s="5">
        <f>A7+1</f>
        <v>2</v>
      </c>
      <c r="B8" s="6" t="s">
        <v>104</v>
      </c>
      <c r="C8" s="6" t="s">
        <v>105</v>
      </c>
      <c r="D8" s="7">
        <v>45860</v>
      </c>
      <c r="E8" s="8" t="s">
        <v>21</v>
      </c>
      <c r="F8" s="9">
        <v>0</v>
      </c>
      <c r="G8" s="9">
        <f>IF(Table24283089101314151623[[#This Row],[SPPU]]&gt;=0,0,Table24283089101314151623[[#This Row],[Total Purchase Amount]]/Table24283089101314151623[[#This Row],[Purchase QTY]])</f>
        <v>0</v>
      </c>
      <c r="H8" s="9">
        <v>0</v>
      </c>
      <c r="I8" s="9">
        <v>3161</v>
      </c>
      <c r="J8" s="9">
        <f>IFERROR(Table24283089101314151623[[#This Row],[Sales Amt]]/Table24283089101314151623[[#This Row],[Sales Qty]],0)</f>
        <v>664.81018664979433</v>
      </c>
      <c r="K8" s="9">
        <v>2101465</v>
      </c>
      <c r="L8" s="9">
        <f>Table24283089101314151623[[#This Row],[Sales Qty]]*O7</f>
        <v>1970156.47</v>
      </c>
      <c r="M8" s="9">
        <f>M7+Table24283089101314151623[[#This Row],[Total Purchase Amount]]-Table24283089101314151623[[#This Row],[Principal Cost As per  NFRS (In case of Sales)]]</f>
        <v>55471.030000000028</v>
      </c>
      <c r="N8" s="9">
        <f>N7+Table24283089101314151623[[#This Row],[Purchase QTY]]-Table24283089101314151623[[#This Row],[Sales Qty]]</f>
        <v>89</v>
      </c>
      <c r="O8" s="42">
        <f>IFERROR(Table24283089101314151623[[#This Row],[TC AP NFRS]]/Table24283089101314151623[[#This Row],[Unit Sum]],0)</f>
        <v>623.27000000000032</v>
      </c>
      <c r="P8" s="10">
        <f>Table24283089101314151623[[#This Row],[Sales Amt]]-Table24283089101314151623[[#This Row],[Principal Cost As per  NFRS (In case of Sales)]]</f>
        <v>131308.53000000003</v>
      </c>
      <c r="R8" s="17">
        <v>0</v>
      </c>
      <c r="S8" s="17"/>
      <c r="T8" s="20">
        <f>R8+S8</f>
        <v>0</v>
      </c>
      <c r="U8" s="20">
        <f>H8+T8</f>
        <v>0</v>
      </c>
      <c r="V8" s="20">
        <f>315.23+6539.56</f>
        <v>6854.7900000000009</v>
      </c>
      <c r="W8" s="20">
        <v>25</v>
      </c>
      <c r="X8" s="55">
        <f>V8+W8</f>
        <v>6879.7900000000009</v>
      </c>
      <c r="Y8" s="20">
        <v>4245.45</v>
      </c>
      <c r="Z8" s="20">
        <f>K8-X8-Y8</f>
        <v>2090339.76</v>
      </c>
      <c r="AA8" s="20">
        <f>I8*AC7</f>
        <v>2052121.2000000002</v>
      </c>
      <c r="AB8" s="20">
        <f>AB7+U8-AA8</f>
        <v>57778.799999999814</v>
      </c>
      <c r="AC8" s="20">
        <f>IFERROR(AB8/N8,0)</f>
        <v>649.19999999999789</v>
      </c>
      <c r="AD8" s="56">
        <f>Z8-AA8+Y8</f>
        <v>42464.00999999982</v>
      </c>
    </row>
    <row r="9" spans="1:31" ht="30" x14ac:dyDescent="0.25">
      <c r="A9" s="5">
        <f t="shared" ref="A9:A15" si="0">A8+1</f>
        <v>3</v>
      </c>
      <c r="B9" s="6" t="s">
        <v>104</v>
      </c>
      <c r="C9" s="6" t="s">
        <v>113</v>
      </c>
      <c r="D9" s="7">
        <v>45861</v>
      </c>
      <c r="E9" s="8" t="s">
        <v>21</v>
      </c>
      <c r="F9" s="9"/>
      <c r="G9" s="9">
        <f>IF(Table24283089101314151623[[#This Row],[SPPU]]&gt;=0,0,Table24283089101314151623[[#This Row],[Total Purchase Amount]]/Table24283089101314151623[[#This Row],[Purchase QTY]])</f>
        <v>0</v>
      </c>
      <c r="H9" s="9">
        <v>0</v>
      </c>
      <c r="I9" s="9">
        <v>89</v>
      </c>
      <c r="J9" s="9">
        <f>IFERROR(Table24283089101314151623[[#This Row],[Sales Amt]]/Table24283089101314151623[[#This Row],[Sales Qty]],0)</f>
        <v>681</v>
      </c>
      <c r="K9" s="9">
        <v>60609</v>
      </c>
      <c r="L9" s="9">
        <f>Table24283089101314151623[[#This Row],[Sales Qty]]*O8</f>
        <v>55471.030000000028</v>
      </c>
      <c r="M9" s="9">
        <f>M8+Table24283089101314151623[[#This Row],[Total Purchase Amount]]-Table24283089101314151623[[#This Row],[Principal Cost As per  NFRS (In case of Sales)]]</f>
        <v>0</v>
      </c>
      <c r="N9" s="9">
        <f>N8+Table24283089101314151623[[#This Row],[Purchase QTY]]-Table24283089101314151623[[#This Row],[Sales Qty]]</f>
        <v>0</v>
      </c>
      <c r="O9" s="42">
        <f>IFERROR(Table24283089101314151623[[#This Row],[TC AP NFRS]]/Table24283089101314151623[[#This Row],[Unit Sum]],0)</f>
        <v>0</v>
      </c>
      <c r="P9" s="10">
        <f>Table24283089101314151623[[#This Row],[Sales Amt]]-Table24283089101314151623[[#This Row],[Principal Cost As per  NFRS (In case of Sales)]]</f>
        <v>5137.9699999999721</v>
      </c>
      <c r="R9" s="17">
        <v>0</v>
      </c>
      <c r="S9" s="17"/>
      <c r="T9" s="20">
        <f>R9+S9</f>
        <v>0</v>
      </c>
      <c r="U9" s="20">
        <f>H9+T9</f>
        <v>0</v>
      </c>
      <c r="V9" s="20">
        <f>9.09+218.19</f>
        <v>227.28</v>
      </c>
      <c r="W9" s="20">
        <v>25</v>
      </c>
      <c r="X9" s="55">
        <f>V9+W9</f>
        <v>252.28</v>
      </c>
      <c r="Y9" s="20">
        <v>257.77</v>
      </c>
      <c r="Z9" s="20">
        <f>K9-X9-Y9</f>
        <v>60098.950000000004</v>
      </c>
      <c r="AA9" s="20">
        <f>I9*AC8</f>
        <v>57778.799999999814</v>
      </c>
      <c r="AB9" s="20">
        <f>AB8+U9-AA9</f>
        <v>0</v>
      </c>
      <c r="AC9" s="20">
        <f>IFERROR(AB9/N9,0)</f>
        <v>0</v>
      </c>
      <c r="AD9" s="56">
        <f>Z9-AA9+Y9</f>
        <v>2577.9200000001906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IF(Table24283089101314151623[[#This Row],[SPPU]]&gt;=0,0,Table24283089101314151623[[#This Row],[Total Purchase Amount]]/Table24283089101314151623[[#This Row],[Purchase QTY]])</f>
        <v>0</v>
      </c>
      <c r="H10" s="9"/>
      <c r="I10" s="9">
        <v>0</v>
      </c>
      <c r="J10" s="9">
        <f>IFERROR(Table24283089101314151623[[#This Row],[Sales Amt]]/Table24283089101314151623[[#This Row],[Sales Qty]],0)</f>
        <v>0</v>
      </c>
      <c r="K10" s="9">
        <v>0</v>
      </c>
      <c r="L10" s="9">
        <f>Table24283089101314151623[[#This Row],[Sales Qty]]*O9</f>
        <v>0</v>
      </c>
      <c r="M10" s="9">
        <f>M9+Table24283089101314151623[[#This Row],[Total Purchase Amount]]-Table24283089101314151623[[#This Row],[Principal Cost As per  NFRS (In case of Sales)]]</f>
        <v>0</v>
      </c>
      <c r="N10" s="9">
        <f>N9+Table24283089101314151623[[#This Row],[Purchase QTY]]-Table24283089101314151623[[#This Row],[Sales Qty]]</f>
        <v>0</v>
      </c>
      <c r="O10" s="42">
        <f>IFERROR(Table24283089101314151623[[#This Row],[TC AP NFRS]]/Table24283089101314151623[[#This Row],[Unit Sum]],0)</f>
        <v>0</v>
      </c>
      <c r="P10" s="10">
        <f>Table24283089101314151623[[#This Row],[Sales Amt]]-Table24283089101314151623[[#This Row],[Principal Cost As per  NFRS (In case of Sales)]]</f>
        <v>0</v>
      </c>
      <c r="R10" s="17"/>
      <c r="S10" s="17"/>
      <c r="T10" s="18"/>
      <c r="U10" s="23"/>
      <c r="V10" s="19"/>
      <c r="W10" s="19"/>
      <c r="X10" s="19"/>
      <c r="Y10" s="21"/>
      <c r="Z10" s="20"/>
      <c r="AA10" s="19"/>
      <c r="AB10" s="21"/>
      <c r="AC10" s="22"/>
      <c r="AD10" s="49"/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>
        <v>0</v>
      </c>
      <c r="G11" s="9" t="e">
        <f>Table24283089101314151623[[#This Row],[Total Purchase Amount]]/Table24283089101314151623[[#This Row],[Purchase QTY]]</f>
        <v>#DIV/0!</v>
      </c>
      <c r="H11" s="9">
        <v>0</v>
      </c>
      <c r="I11" s="9">
        <v>0</v>
      </c>
      <c r="J11" s="9">
        <f ca="1">IFERROR(Table24283089101314151623[[#This Row],[Sales Amt]]/Table24283089101314151623[[#This Row],[Sales Qty]],0)</f>
        <v>0</v>
      </c>
      <c r="K11" s="9">
        <f ca="1">Table24283089101314151623[[#This Row],[Sales Qty]]*Table24283089101314151623[[#This Row],[SPPU]]</f>
        <v>0</v>
      </c>
      <c r="L11" s="9">
        <f>Table24283089101314151623[[#This Row],[Sales Qty]]*O10</f>
        <v>0</v>
      </c>
      <c r="M11" s="9">
        <f>M10+Table24283089101314151623[[#This Row],[Total Purchase Amount]]-Table24283089101314151623[[#This Row],[Principal Cost As per  NFRS (In case of Sales)]]</f>
        <v>0</v>
      </c>
      <c r="N11" s="9">
        <f>N10+Table24283089101314151623[[#This Row],[Purchase QTY]]-Table24283089101314151623[[#This Row],[Sales Qty]]</f>
        <v>0</v>
      </c>
      <c r="O11" s="42">
        <f>IFERROR(Table24283089101314151623[[#This Row],[TC AP NFRS]]/Table24283089101314151623[[#This Row],[Unit Sum]],0)</f>
        <v>0</v>
      </c>
      <c r="P11" s="10">
        <f ca="1">Table24283089101314151623[[#This Row],[Sales Amt]]-Table24283089101314151623[[#This Row],[Principal Cost As per  NFRS (In case of Sales)]]</f>
        <v>0</v>
      </c>
      <c r="R11" s="17"/>
      <c r="S11" s="17"/>
      <c r="T11" s="18"/>
      <c r="U11" s="23"/>
      <c r="V11" s="19"/>
      <c r="W11" s="19"/>
      <c r="X11" s="19"/>
      <c r="Y11" s="21"/>
      <c r="Z11" s="20"/>
      <c r="AA11" s="19"/>
      <c r="AB11" s="21"/>
      <c r="AC11" s="22"/>
      <c r="AD11" s="49"/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Table24283089101314151623[[#This Row],[Total Purchase Amount]]/Table24283089101314151623[[#This Row],[Purchase QTY]]</f>
        <v>#DIV/0!</v>
      </c>
      <c r="H12" s="9">
        <v>0</v>
      </c>
      <c r="I12" s="9">
        <v>0</v>
      </c>
      <c r="J12" s="9">
        <f ca="1">IFERROR(Table24283089101314151623[[#This Row],[Sales Amt]]/Table24283089101314151623[[#This Row],[Sales Qty]],0)</f>
        <v>0</v>
      </c>
      <c r="K12" s="9">
        <f ca="1">Table24283089101314151623[[#This Row],[Sales Qty]]*Table24283089101314151623[[#This Row],[SPPU]]</f>
        <v>0</v>
      </c>
      <c r="L12" s="9">
        <f>Table24283089101314151623[[#This Row],[Sales Qty]]*O11</f>
        <v>0</v>
      </c>
      <c r="M12" s="9">
        <f>M11+Table24283089101314151623[[#This Row],[Total Purchase Amount]]-Table24283089101314151623[[#This Row],[Principal Cost As per  NFRS (In case of Sales)]]</f>
        <v>0</v>
      </c>
      <c r="N12" s="9">
        <f>N11+Table24283089101314151623[[#This Row],[Purchase QTY]]-Table24283089101314151623[[#This Row],[Sales Qty]]</f>
        <v>0</v>
      </c>
      <c r="O12" s="42">
        <f>IFERROR(Table24283089101314151623[[#This Row],[TC AP NFRS]]/Table24283089101314151623[[#This Row],[Unit Sum]],0)</f>
        <v>0</v>
      </c>
      <c r="P12" s="10">
        <f ca="1">Table24283089101314151623[[#This Row],[Sales Amt]]-Table24283089101314151623[[#This Row],[Principal Cost As per  NFRS (In case of Sales)]]</f>
        <v>0</v>
      </c>
      <c r="R12" s="17"/>
      <c r="S12" s="17"/>
      <c r="T12" s="18"/>
      <c r="U12" s="23"/>
      <c r="V12" s="19"/>
      <c r="W12" s="19"/>
      <c r="X12" s="19"/>
      <c r="Y12" s="21"/>
      <c r="Z12" s="20"/>
      <c r="AA12" s="19"/>
      <c r="AB12" s="21"/>
      <c r="AC12" s="22"/>
      <c r="AD12" s="49"/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/>
      <c r="G13" s="9">
        <f>IF(Table24283089101314151623[[#This Row],[SPPU]]&gt;=0,0,Table24283089101314151623[[#This Row],[Total Purchase Amount]]/Table24283089101314151623[[#This Row],[Purchase QTY]])</f>
        <v>0</v>
      </c>
      <c r="H13" s="9"/>
      <c r="I13" s="9">
        <v>0</v>
      </c>
      <c r="J13" s="9">
        <f>IFERROR(Table24283089101314151623[[#This Row],[Sales Amt]]/Table24283089101314151623[[#This Row],[Sales Qty]],0)</f>
        <v>0</v>
      </c>
      <c r="K13" s="9">
        <v>0</v>
      </c>
      <c r="L13" s="9">
        <f>Table24283089101314151623[[#This Row],[Sales Qty]]*O11</f>
        <v>0</v>
      </c>
      <c r="M13" s="9">
        <f>M12+Table24283089101314151623[[#This Row],[Total Purchase Amount]]-Table24283089101314151623[[#This Row],[Principal Cost As per  NFRS (In case of Sales)]]</f>
        <v>0</v>
      </c>
      <c r="N13" s="9">
        <f>N12+Table24283089101314151623[[#This Row],[Purchase QTY]]-Table24283089101314151623[[#This Row],[Sales Qty]]</f>
        <v>0</v>
      </c>
      <c r="O13" s="42">
        <f>IFERROR(Table24283089101314151623[[#This Row],[TC AP NFRS]]/Table24283089101314151623[[#This Row],[Unit Sum]],0)</f>
        <v>0</v>
      </c>
      <c r="P13" s="10">
        <f>Table24283089101314151623[[#This Row],[Sales Amt]]-Table24283089101314151623[[#This Row],[Principal Cost As per  NFRS (In case of Sales)]]</f>
        <v>0</v>
      </c>
      <c r="R13" s="17"/>
      <c r="S13" s="17"/>
      <c r="T13" s="18"/>
      <c r="U13" s="23"/>
      <c r="V13" s="19"/>
      <c r="W13" s="19"/>
      <c r="X13" s="19"/>
      <c r="Y13" s="21"/>
      <c r="Z13" s="20"/>
      <c r="AA13" s="19"/>
      <c r="AB13" s="21"/>
      <c r="AC13" s="22"/>
      <c r="AD13" s="49"/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IF(Table24283089101314151623[[#This Row],[SPPU]]&gt;=0,0,Table24283089101314151623[[#This Row],[Total Purchase Amount]]/Table24283089101314151623[[#This Row],[Purchase QTY]])</f>
        <v>0</v>
      </c>
      <c r="H14" s="9"/>
      <c r="I14" s="9">
        <v>0</v>
      </c>
      <c r="J14" s="9">
        <f>IFERROR(Table24283089101314151623[[#This Row],[Sales Amt]]/Table24283089101314151623[[#This Row],[Sales Qty]],0)</f>
        <v>0</v>
      </c>
      <c r="K14" s="9">
        <v>0</v>
      </c>
      <c r="L14" s="9">
        <f>Table24283089101314151623[[#This Row],[Sales Qty]]*O13</f>
        <v>0</v>
      </c>
      <c r="M14" s="9">
        <f>M13+Table24283089101314151623[[#This Row],[Total Purchase Amount]]-Table24283089101314151623[[#This Row],[Principal Cost As per  NFRS (In case of Sales)]]</f>
        <v>0</v>
      </c>
      <c r="N14" s="9">
        <f>N13+Table24283089101314151623[[#This Row],[Purchase QTY]]-Table24283089101314151623[[#This Row],[Sales Qty]]</f>
        <v>0</v>
      </c>
      <c r="O14" s="42">
        <f>IFERROR(Table24283089101314151623[[#This Row],[TC AP NFRS]]/Table24283089101314151623[[#This Row],[Unit Sum]],0)</f>
        <v>0</v>
      </c>
      <c r="P14" s="10">
        <f>Table24283089101314151623[[#This Row],[Sales Amt]]-Table24283089101314151623[[#This Row],[Principal Cost As per  NFRS (In case of Sales)]]</f>
        <v>0</v>
      </c>
      <c r="R14" s="17"/>
      <c r="S14" s="17"/>
      <c r="T14" s="18"/>
      <c r="U14" s="23"/>
      <c r="V14" s="19"/>
      <c r="W14" s="19"/>
      <c r="X14" s="19"/>
      <c r="Y14" s="21"/>
      <c r="Z14" s="20"/>
      <c r="AA14" s="19"/>
      <c r="AB14" s="21"/>
      <c r="AC14" s="22"/>
      <c r="AD14" s="49"/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IF(Table24283089101314151623[[#This Row],[SPPU]]&gt;=0,0,Table24283089101314151623[[#This Row],[Total Purchase Amount]]/Table24283089101314151623[[#This Row],[Purchase QTY]])</f>
        <v>0</v>
      </c>
      <c r="H15" s="9"/>
      <c r="I15" s="9">
        <v>0</v>
      </c>
      <c r="J15" s="9">
        <f>IFERROR(Table24283089101314151623[[#This Row],[Sales Amt]]/Table24283089101314151623[[#This Row],[Sales Qty]],0)</f>
        <v>0</v>
      </c>
      <c r="K15" s="9">
        <v>0</v>
      </c>
      <c r="L15" s="9">
        <f>Table24283089101314151623[[#This Row],[Sales Qty]]*O14</f>
        <v>0</v>
      </c>
      <c r="M15" s="9">
        <f>M14+Table24283089101314151623[[#This Row],[Total Purchase Amount]]-Table24283089101314151623[[#This Row],[Principal Cost As per  NFRS (In case of Sales)]]</f>
        <v>0</v>
      </c>
      <c r="N15" s="9">
        <f>N14+Table24283089101314151623[[#This Row],[Purchase QTY]]-Table24283089101314151623[[#This Row],[Sales Qty]]</f>
        <v>0</v>
      </c>
      <c r="O15" s="42">
        <f>IFERROR(Table24283089101314151623[[#This Row],[TC AP NFRS]]/Table24283089101314151623[[#This Row],[Unit Sum]],0)</f>
        <v>0</v>
      </c>
      <c r="P15" s="10">
        <f>Table24283089101314151623[[#This Row],[Sales Amt]]-Table24283089101314151623[[#This Row],[Principal Cost As per  NFRS (In case of Sales)]]</f>
        <v>0</v>
      </c>
      <c r="R15" s="17"/>
      <c r="S15" s="17"/>
      <c r="T15" s="18"/>
      <c r="U15" s="23"/>
      <c r="V15" s="19"/>
      <c r="W15" s="19"/>
      <c r="X15" s="19"/>
      <c r="Y15" s="21"/>
      <c r="Z15" s="20"/>
      <c r="AA15" s="19"/>
      <c r="AB15" s="21"/>
      <c r="AC15" s="22"/>
      <c r="AD15" s="49"/>
    </row>
    <row r="16" spans="1:31" ht="15.75" x14ac:dyDescent="0.25">
      <c r="A16" s="11" t="s">
        <v>22</v>
      </c>
      <c r="B16" s="12"/>
      <c r="C16" s="12"/>
      <c r="D16" s="13"/>
      <c r="E16" s="14"/>
      <c r="F16" s="15">
        <f ca="1">SUM(INDIRECT("f4:f"&amp;ROW()-1))</f>
        <v>3250</v>
      </c>
      <c r="G16" s="15"/>
      <c r="H16" s="15">
        <f ca="1">SUM(INDIRECT("h4:h"&amp;ROW()-1))</f>
        <v>2025627.5</v>
      </c>
      <c r="I16" s="15">
        <f ca="1">SUM(INDIRECT("i4:i"&amp;ROW()-1))</f>
        <v>3250</v>
      </c>
      <c r="J16" s="15">
        <f ca="1">Table24283089101314151623[[#This Row],[Sales Amt]]/Table24283089101314151623[[#This Row],[Sales Qty]]</f>
        <v>665.25353846153848</v>
      </c>
      <c r="K16" s="15">
        <f ca="1">SUM(INDIRECT("k4:k"&amp;ROW()-1))</f>
        <v>2162074</v>
      </c>
      <c r="L16" s="15">
        <f>SUM(L7:L9)</f>
        <v>2025627.5</v>
      </c>
      <c r="M16" s="15">
        <f ca="1">Table24283089101314151623[[#This Row],[Total Purchase Amount]]-Table24283089101314151623[[#This Row],[Principal Cost As per  NFRS (In case of Sales)]]</f>
        <v>0</v>
      </c>
      <c r="N16" s="15">
        <f ca="1">Table24283089101314151623[[#This Row],[Purchase QTY]]-Table24283089101314151623[[#This Row],[Sales Qty]]</f>
        <v>0</v>
      </c>
      <c r="O16" s="43">
        <f ca="1">IFERROR(Table24283089101314151623[[#This Row],[TC AP NFRS]]/Table24283089101314151623[[#This Row],[Unit Sum]],0)</f>
        <v>0</v>
      </c>
      <c r="P16" s="15">
        <f ca="1">SUM(INDIRECT("p4:p"&amp;ROW()-1))</f>
        <v>136446.5</v>
      </c>
      <c r="R16" s="24">
        <f>SUM(R7:R9)</f>
        <v>0</v>
      </c>
      <c r="S16" s="24">
        <f t="shared" ref="S16:AA16" si="1">SUM(S7:S9)</f>
        <v>0</v>
      </c>
      <c r="T16" s="24">
        <f t="shared" si="1"/>
        <v>0</v>
      </c>
      <c r="U16" s="24">
        <f>SUM(U7:U9)</f>
        <v>2109900</v>
      </c>
      <c r="V16" s="24">
        <f>SUM(V7:V9)</f>
        <v>7082.0700000000006</v>
      </c>
      <c r="W16" s="24">
        <f t="shared" si="1"/>
        <v>50</v>
      </c>
      <c r="X16" s="24">
        <f t="shared" si="1"/>
        <v>7132.0700000000006</v>
      </c>
      <c r="Y16" s="24">
        <f>SUM(Y7:Y9)</f>
        <v>4503.2199999999993</v>
      </c>
      <c r="Z16" s="24">
        <f>SUM(Z7:Z9)</f>
        <v>2150438.71</v>
      </c>
      <c r="AA16" s="24">
        <f t="shared" si="1"/>
        <v>2109900</v>
      </c>
      <c r="AB16" s="24">
        <f>U16-AA16</f>
        <v>0</v>
      </c>
      <c r="AC16" s="24">
        <f ca="1">IFERROR(AB16/Table24283089101314151623[[#This Row],[Unit Sum]],0)</f>
        <v>0</v>
      </c>
      <c r="AD16" s="24">
        <f>SUM(AD7:AD9)</f>
        <v>45041.930000000008</v>
      </c>
    </row>
    <row r="18" spans="1:30" x14ac:dyDescent="0.25">
      <c r="A18" t="s">
        <v>882</v>
      </c>
      <c r="R18" s="120" t="s">
        <v>20</v>
      </c>
      <c r="S18" s="121"/>
      <c r="T18" s="121"/>
      <c r="U18" s="50"/>
      <c r="V18" s="120" t="s">
        <v>67</v>
      </c>
      <c r="W18" s="121"/>
      <c r="X18" s="121"/>
      <c r="Y18" s="123" t="s">
        <v>13</v>
      </c>
      <c r="Z18" s="124" t="s">
        <v>10</v>
      </c>
      <c r="AA18" s="125" t="s">
        <v>66</v>
      </c>
      <c r="AB18" s="123" t="s">
        <v>15</v>
      </c>
      <c r="AC18" s="123" t="s">
        <v>18</v>
      </c>
      <c r="AD18" s="123" t="s">
        <v>12</v>
      </c>
    </row>
    <row r="19" spans="1:30" ht="75" x14ac:dyDescent="0.25">
      <c r="A19" s="1" t="s">
        <v>57</v>
      </c>
      <c r="B19" s="2" t="s">
        <v>0</v>
      </c>
      <c r="C19" s="2" t="s">
        <v>53</v>
      </c>
      <c r="D19" s="2" t="s">
        <v>1</v>
      </c>
      <c r="E19" s="2" t="s">
        <v>2</v>
      </c>
      <c r="F19" s="2" t="s">
        <v>3</v>
      </c>
      <c r="G19" s="2" t="s">
        <v>4</v>
      </c>
      <c r="H19" s="2" t="s">
        <v>51</v>
      </c>
      <c r="I19" s="2" t="s">
        <v>6</v>
      </c>
      <c r="J19" s="16" t="s">
        <v>7</v>
      </c>
      <c r="K19" s="16" t="s">
        <v>8</v>
      </c>
      <c r="L19" s="2" t="s">
        <v>50</v>
      </c>
      <c r="M19" s="2" t="s">
        <v>14</v>
      </c>
      <c r="N19" s="2" t="s">
        <v>16</v>
      </c>
      <c r="O19" s="4" t="s">
        <v>17</v>
      </c>
      <c r="P19" s="3" t="s">
        <v>11</v>
      </c>
      <c r="R19" s="2" t="s">
        <v>65</v>
      </c>
      <c r="S19" s="2" t="s">
        <v>62</v>
      </c>
      <c r="T19" s="2" t="s">
        <v>5</v>
      </c>
      <c r="U19" s="2" t="s">
        <v>164</v>
      </c>
      <c r="V19" s="16" t="s">
        <v>64</v>
      </c>
      <c r="W19" s="16" t="s">
        <v>62</v>
      </c>
      <c r="X19" s="45" t="s">
        <v>9</v>
      </c>
      <c r="Y19" s="123"/>
      <c r="Z19" s="124"/>
      <c r="AA19" s="125"/>
      <c r="AB19" s="123"/>
      <c r="AC19" s="123"/>
      <c r="AD19" s="123"/>
    </row>
    <row r="20" spans="1:30" x14ac:dyDescent="0.25">
      <c r="A20" s="96">
        <v>1</v>
      </c>
      <c r="B20" s="97" t="s">
        <v>104</v>
      </c>
      <c r="C20" s="97"/>
      <c r="D20" s="98">
        <v>45886</v>
      </c>
      <c r="E20" s="99" t="s">
        <v>19</v>
      </c>
      <c r="F20" s="59">
        <v>3250</v>
      </c>
      <c r="G20" s="59"/>
      <c r="H20" s="59">
        <v>2025627.5</v>
      </c>
      <c r="I20" s="59">
        <v>3250</v>
      </c>
      <c r="J20" s="59">
        <v>665.25353846153848</v>
      </c>
      <c r="K20" s="59">
        <v>2162074</v>
      </c>
      <c r="L20" s="59">
        <v>2025627.5</v>
      </c>
      <c r="M20" s="59">
        <v>0</v>
      </c>
      <c r="N20" s="59">
        <v>0</v>
      </c>
      <c r="O20" s="59">
        <v>0</v>
      </c>
      <c r="P20" s="59">
        <v>136446.5</v>
      </c>
      <c r="Q20" s="59"/>
      <c r="R20" s="59">
        <v>0</v>
      </c>
      <c r="S20" s="59">
        <v>0</v>
      </c>
      <c r="T20" s="59">
        <v>0</v>
      </c>
      <c r="U20" s="59">
        <v>2109900</v>
      </c>
      <c r="V20" s="59">
        <v>7082.0700000000006</v>
      </c>
      <c r="W20" s="59">
        <v>50</v>
      </c>
      <c r="X20" s="59">
        <v>7132.0700000000006</v>
      </c>
      <c r="Y20" s="59">
        <v>4503.2199999999993</v>
      </c>
      <c r="Z20" s="59">
        <v>2150438.71</v>
      </c>
      <c r="AA20" s="59">
        <v>2109900</v>
      </c>
      <c r="AB20" s="59">
        <v>0</v>
      </c>
      <c r="AC20" s="59">
        <v>0</v>
      </c>
      <c r="AD20" s="59">
        <v>45041.930000000008</v>
      </c>
    </row>
  </sheetData>
  <mergeCells count="16">
    <mergeCell ref="AB18:AB19"/>
    <mergeCell ref="AC18:AC19"/>
    <mergeCell ref="AD18:AD19"/>
    <mergeCell ref="R18:T18"/>
    <mergeCell ref="V18:X18"/>
    <mergeCell ref="Y18:Y19"/>
    <mergeCell ref="Z18:Z19"/>
    <mergeCell ref="AA18:AA19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5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3FBD7656-57B5-48DA-9DD1-C8D58F534287}">
          <x14:formula1>
            <xm:f>VALIDATION!$A$2:$A$7</xm:f>
          </x14:formula1>
          <xm:sqref>E7:E15 E20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5511-B55A-4382-842C-C05F5528CCCD}">
  <sheetPr>
    <pageSetUpPr fitToPage="1"/>
  </sheetPr>
  <dimension ref="A1:AE20"/>
  <sheetViews>
    <sheetView topLeftCell="O5" zoomScaleNormal="100" workbookViewId="0">
      <selection activeCell="A18" sqref="A18:AD20"/>
    </sheetView>
  </sheetViews>
  <sheetFormatPr defaultRowHeight="15" x14ac:dyDescent="0.25"/>
  <cols>
    <col min="1" max="1" width="5.5703125" customWidth="1"/>
    <col min="2" max="2" width="4.5703125" bestFit="1" customWidth="1"/>
    <col min="3" max="3" width="15.85546875" bestFit="1" customWidth="1"/>
    <col min="4" max="4" width="10.28515625" bestFit="1" customWidth="1"/>
    <col min="5" max="5" width="8.85546875" bestFit="1" customWidth="1"/>
    <col min="6" max="6" width="12.140625" bestFit="1" customWidth="1"/>
    <col min="7" max="7" width="8.7109375" bestFit="1" customWidth="1"/>
    <col min="8" max="8" width="16.85546875" bestFit="1" customWidth="1"/>
    <col min="9" max="9" width="12.140625" bestFit="1" customWidth="1"/>
    <col min="10" max="10" width="10.140625" bestFit="1" customWidth="1"/>
    <col min="11" max="13" width="16.85546875" bestFit="1" customWidth="1"/>
    <col min="14" max="14" width="12.140625" bestFit="1" customWidth="1"/>
    <col min="15" max="15" width="10.140625" bestFit="1" customWidth="1"/>
    <col min="16" max="16" width="14.85546875" bestFit="1" customWidth="1"/>
    <col min="17" max="17" width="2.140625" customWidth="1"/>
    <col min="18" max="18" width="12.85546875" bestFit="1" customWidth="1"/>
    <col min="19" max="19" width="9.5703125" bestFit="1" customWidth="1"/>
    <col min="20" max="20" width="12.85546875" customWidth="1"/>
    <col min="21" max="21" width="17.7109375" bestFit="1" customWidth="1"/>
    <col min="22" max="22" width="14.28515625" bestFit="1" customWidth="1"/>
    <col min="23" max="23" width="10.85546875" bestFit="1" customWidth="1"/>
    <col min="24" max="24" width="14.28515625" bestFit="1" customWidth="1"/>
    <col min="25" max="25" width="12.85546875" bestFit="1" customWidth="1"/>
    <col min="26" max="28" width="17.7109375" bestFit="1" customWidth="1"/>
    <col min="29" max="29" width="10.28515625" bestFit="1" customWidth="1"/>
    <col min="30" max="30" width="16.42578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60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106</v>
      </c>
      <c r="C7" s="6"/>
      <c r="D7" s="7">
        <v>45855</v>
      </c>
      <c r="E7" s="8" t="s">
        <v>19</v>
      </c>
      <c r="F7" s="9">
        <v>7017</v>
      </c>
      <c r="G7" s="9">
        <v>779.28</v>
      </c>
      <c r="H7" s="9">
        <f>Table2428308910131415162324[[#This Row],[Purchase QTY]]*Table2428308910131415162324[[#This Row],[PPPU]]</f>
        <v>5468207.7599999998</v>
      </c>
      <c r="I7" s="9"/>
      <c r="J7" s="9"/>
      <c r="K7" s="9"/>
      <c r="L7" s="9"/>
      <c r="M7" s="9">
        <f>Table2428308910131415162324[[#This Row],[Total Purchase Amount]]</f>
        <v>5468207.7599999998</v>
      </c>
      <c r="N7" s="9">
        <f>IF(Table2428308910131415162324[[#This Row],[Txn Type]]="opening",Table2428308910131415162324[[#This Row],[Purchase QTY]],"Error")</f>
        <v>7017</v>
      </c>
      <c r="O7" s="42">
        <f>IFERROR(Table2428308910131415162324[[#This Row],[TC AP NFRS]]/Table2428308910131415162324[[#This Row],[Unit Sum]],0)</f>
        <v>779.28</v>
      </c>
      <c r="P7" s="10">
        <f>Table2428308910131415162324[[#This Row],[Sales Amt]]-Table2428308910131415162324[[#This Row],[Principal Cost As per  NFRS (In case of Sales)]]</f>
        <v>0</v>
      </c>
      <c r="R7" s="17"/>
      <c r="S7" s="17"/>
      <c r="T7" s="20">
        <f>R7+S7</f>
        <v>0</v>
      </c>
      <c r="U7" s="20">
        <f>AB7</f>
        <v>6633029.7599999998</v>
      </c>
      <c r="V7" s="20"/>
      <c r="W7" s="20"/>
      <c r="X7" s="20"/>
      <c r="Y7" s="46"/>
      <c r="Z7" s="46"/>
      <c r="AA7" s="46"/>
      <c r="AB7" s="46">
        <f>F7*AC7</f>
        <v>6633029.7599999998</v>
      </c>
      <c r="AC7" s="46">
        <v>945.28</v>
      </c>
      <c r="AD7" s="56"/>
    </row>
    <row r="8" spans="1:31" ht="30" x14ac:dyDescent="0.25">
      <c r="A8" s="5">
        <f>A7+1</f>
        <v>2</v>
      </c>
      <c r="B8" s="6" t="s">
        <v>106</v>
      </c>
      <c r="C8" s="6" t="s">
        <v>107</v>
      </c>
      <c r="D8" s="7">
        <v>45860</v>
      </c>
      <c r="E8" s="8" t="s">
        <v>21</v>
      </c>
      <c r="F8" s="9">
        <v>0</v>
      </c>
      <c r="G8" s="9">
        <f>IF(Table2428308910131415162324[[#This Row],[SPPU]]&gt;=0,0,Table2428308910131415162324[[#This Row],[Total Purchase Amount]]/Table2428308910131415162324[[#This Row],[Purchase QTY]])</f>
        <v>0</v>
      </c>
      <c r="H8" s="9">
        <v>0</v>
      </c>
      <c r="I8" s="9">
        <v>1000</v>
      </c>
      <c r="J8" s="9">
        <f>IFERROR(Table2428308910131415162324[[#This Row],[Sales Amt]]/Table2428308910131415162324[[#This Row],[Sales Qty]],0)</f>
        <v>958</v>
      </c>
      <c r="K8" s="9">
        <v>958000</v>
      </c>
      <c r="L8" s="9">
        <f>Table2428308910131415162324[[#This Row],[Sales Qty]]*O7</f>
        <v>779280</v>
      </c>
      <c r="M8" s="9">
        <f>M7+Table2428308910131415162324[[#This Row],[Total Purchase Amount]]-Table2428308910131415162324[[#This Row],[Principal Cost As per  NFRS (In case of Sales)]]</f>
        <v>4688927.76</v>
      </c>
      <c r="N8" s="9">
        <f>N7+Table2428308910131415162324[[#This Row],[Purchase QTY]]-Table2428308910131415162324[[#This Row],[Sales Qty]]</f>
        <v>6017</v>
      </c>
      <c r="O8" s="42">
        <f>IFERROR(Table2428308910131415162324[[#This Row],[TC AP NFRS]]/Table2428308910131415162324[[#This Row],[Unit Sum]],0)</f>
        <v>779.28</v>
      </c>
      <c r="P8" s="10">
        <f>Table2428308910131415162324[[#This Row],[Sales Amt]]-Table2428308910131415162324[[#This Row],[Principal Cost As per  NFRS (In case of Sales)]]</f>
        <v>178720</v>
      </c>
      <c r="R8" s="17">
        <v>0</v>
      </c>
      <c r="S8" s="17"/>
      <c r="T8" s="20">
        <f>R8+S8</f>
        <v>0</v>
      </c>
      <c r="U8" s="20">
        <f>H8+T8</f>
        <v>0</v>
      </c>
      <c r="V8" s="20">
        <f>143.7+3161.4</f>
        <v>3305.1</v>
      </c>
      <c r="W8" s="20">
        <v>25</v>
      </c>
      <c r="X8" s="55">
        <f>V8+W8</f>
        <v>3330.1</v>
      </c>
      <c r="Y8" s="20">
        <v>939.29</v>
      </c>
      <c r="Z8" s="20">
        <f>K8-X8-Y8</f>
        <v>953730.61</v>
      </c>
      <c r="AA8" s="20">
        <f>I8*AC7</f>
        <v>945280</v>
      </c>
      <c r="AB8" s="20">
        <f>AB7+U8-AA8</f>
        <v>5687749.7599999998</v>
      </c>
      <c r="AC8" s="20">
        <f>IFERROR(AB8/N8,0)</f>
        <v>945.28</v>
      </c>
      <c r="AD8" s="56">
        <f>Z8-AA8+Y8</f>
        <v>9389.8999999999869</v>
      </c>
    </row>
    <row r="9" spans="1:31" ht="30" x14ac:dyDescent="0.25">
      <c r="A9" s="5">
        <f t="shared" ref="A9:A15" si="0">A8+1</f>
        <v>3</v>
      </c>
      <c r="B9" s="6" t="s">
        <v>106</v>
      </c>
      <c r="C9" s="6" t="s">
        <v>116</v>
      </c>
      <c r="D9" s="7">
        <v>45861</v>
      </c>
      <c r="E9" s="8" t="s">
        <v>21</v>
      </c>
      <c r="F9" s="9"/>
      <c r="G9" s="9">
        <f>IF(Table2428308910131415162324[[#This Row],[SPPU]]&gt;=0,0,Table2428308910131415162324[[#This Row],[Total Purchase Amount]]/Table2428308910131415162324[[#This Row],[Purchase QTY]])</f>
        <v>0</v>
      </c>
      <c r="H9" s="9"/>
      <c r="I9" s="9">
        <v>4200</v>
      </c>
      <c r="J9" s="9">
        <f>Table2428308910131415162324[[#This Row],[Sales Amt]]/Table2428308910131415162324[[#This Row],[Sales Qty]]</f>
        <v>955.35714285714289</v>
      </c>
      <c r="K9" s="9">
        <v>4012500</v>
      </c>
      <c r="L9" s="9">
        <f>Table2428308910131415162324[[#This Row],[Sales Qty]]*O8</f>
        <v>3272976</v>
      </c>
      <c r="M9" s="9">
        <f>M8+Table2428308910131415162324[[#This Row],[Total Purchase Amount]]-Table2428308910131415162324[[#This Row],[Principal Cost As per  NFRS (In case of Sales)]]</f>
        <v>1415951.7599999998</v>
      </c>
      <c r="N9" s="9">
        <f>N8+Table2428308910131415162324[[#This Row],[Purchase QTY]]-Table2428308910131415162324[[#This Row],[Sales Qty]]</f>
        <v>1817</v>
      </c>
      <c r="O9" s="42">
        <f>IFERROR(Table2428308910131415162324[[#This Row],[TC AP NFRS]]/Table2428308910131415162324[[#This Row],[Unit Sum]],0)</f>
        <v>779.27999999999986</v>
      </c>
      <c r="P9" s="10">
        <f>Table2428308910131415162324[[#This Row],[Sales Amt]]-Table2428308910131415162324[[#This Row],[Principal Cost As per  NFRS (In case of Sales)]]</f>
        <v>739524</v>
      </c>
      <c r="R9" s="17">
        <v>0</v>
      </c>
      <c r="S9" s="17"/>
      <c r="T9" s="20">
        <f t="shared" ref="T9:T15" si="1">R9+S9</f>
        <v>0</v>
      </c>
      <c r="U9" s="20">
        <f t="shared" ref="U9:U15" si="2">H9+T9</f>
        <v>0</v>
      </c>
      <c r="V9" s="20">
        <f>601.89+12873.07</f>
        <v>13474.96</v>
      </c>
      <c r="W9" s="20">
        <v>25</v>
      </c>
      <c r="X9" s="55">
        <f t="shared" ref="X9:X15" si="3">V9+W9</f>
        <v>13499.96</v>
      </c>
      <c r="Y9" s="20">
        <v>2898.94</v>
      </c>
      <c r="Z9" s="20">
        <f t="shared" ref="Z9:Z15" si="4">K9-X9-Y9</f>
        <v>3996101.1</v>
      </c>
      <c r="AA9" s="20">
        <f t="shared" ref="AA9:AA15" si="5">I9*AC8</f>
        <v>3970176</v>
      </c>
      <c r="AB9" s="20">
        <f t="shared" ref="AB9:AB15" si="6">AB8+U9-AA9</f>
        <v>1717573.7599999998</v>
      </c>
      <c r="AC9" s="20">
        <f t="shared" ref="AC9:AC16" si="7">IFERROR(AB9/N9,0)</f>
        <v>945.27999999999986</v>
      </c>
      <c r="AD9" s="56">
        <f t="shared" ref="AD9:AD15" si="8">Z9-AA9+Y9</f>
        <v>28824.040000000092</v>
      </c>
    </row>
    <row r="10" spans="1:31" ht="30" x14ac:dyDescent="0.25">
      <c r="A10" s="5">
        <f t="shared" si="0"/>
        <v>4</v>
      </c>
      <c r="B10" s="6" t="s">
        <v>106</v>
      </c>
      <c r="C10" s="6" t="s">
        <v>146</v>
      </c>
      <c r="D10" s="7">
        <v>45867</v>
      </c>
      <c r="E10" s="8" t="s">
        <v>55</v>
      </c>
      <c r="F10" s="9">
        <v>500</v>
      </c>
      <c r="G10" s="9">
        <f>IF(Table2428308910131415162324[[#This Row],[SPPU]]&gt;0,0,Table2428308910131415162324[[#This Row],[Total Purchase Amount]]/Table2428308910131415162324[[#This Row],[Purchase QTY]])</f>
        <v>900.9</v>
      </c>
      <c r="H10" s="9">
        <v>450450</v>
      </c>
      <c r="I10" s="9">
        <v>0</v>
      </c>
      <c r="J10" s="9">
        <f>IFERROR(Table2428308910131415162324[[#This Row],[Sales Amt]]/Table2428308910131415162324[[#This Row],[Sales Qty]],0)</f>
        <v>0</v>
      </c>
      <c r="K10" s="9">
        <v>0</v>
      </c>
      <c r="L10" s="9">
        <f>Table2428308910131415162324[[#This Row],[Sales Qty]]*O9</f>
        <v>0</v>
      </c>
      <c r="M10" s="9">
        <f>M9+Table2428308910131415162324[[#This Row],[Total Purchase Amount]]-Table2428308910131415162324[[#This Row],[Principal Cost As per  NFRS (In case of Sales)]]</f>
        <v>1866401.7599999998</v>
      </c>
      <c r="N10" s="9">
        <f>N9+Table2428308910131415162324[[#This Row],[Purchase QTY]]-Table2428308910131415162324[[#This Row],[Sales Qty]]</f>
        <v>2317</v>
      </c>
      <c r="O10" s="42">
        <f>IFERROR(Table2428308910131415162324[[#This Row],[TC AP NFRS]]/Table2428308910131415162324[[#This Row],[Unit Sum]],0)</f>
        <v>805.52514458351311</v>
      </c>
      <c r="P10" s="10">
        <f>Table2428308910131415162324[[#This Row],[Sales Amt]]-Table2428308910131415162324[[#This Row],[Principal Cost As per  NFRS (In case of Sales)]]</f>
        <v>0</v>
      </c>
      <c r="R10" s="17">
        <f>67.57+1486.49</f>
        <v>1554.06</v>
      </c>
      <c r="S10" s="17">
        <v>25</v>
      </c>
      <c r="T10" s="20">
        <f>R10+S10</f>
        <v>1579.06</v>
      </c>
      <c r="U10" s="20">
        <f t="shared" si="2"/>
        <v>452029.06</v>
      </c>
      <c r="V10" s="20">
        <v>0</v>
      </c>
      <c r="W10" s="20">
        <v>0</v>
      </c>
      <c r="X10" s="55">
        <f t="shared" si="3"/>
        <v>0</v>
      </c>
      <c r="Y10" s="20">
        <v>0</v>
      </c>
      <c r="Z10" s="20">
        <f t="shared" si="4"/>
        <v>0</v>
      </c>
      <c r="AA10" s="20">
        <f t="shared" si="5"/>
        <v>0</v>
      </c>
      <c r="AB10" s="20">
        <f t="shared" si="6"/>
        <v>2169602.8199999998</v>
      </c>
      <c r="AC10" s="20">
        <v>935.56</v>
      </c>
      <c r="AD10" s="56">
        <f t="shared" si="8"/>
        <v>0</v>
      </c>
    </row>
    <row r="11" spans="1:31" ht="30" x14ac:dyDescent="0.25">
      <c r="A11" s="5">
        <f t="shared" si="0"/>
        <v>5</v>
      </c>
      <c r="B11" s="6" t="s">
        <v>106</v>
      </c>
      <c r="C11" s="6" t="s">
        <v>878</v>
      </c>
      <c r="D11" s="7">
        <v>45880</v>
      </c>
      <c r="E11" s="8" t="s">
        <v>21</v>
      </c>
      <c r="F11" s="9">
        <v>0</v>
      </c>
      <c r="G11" s="9">
        <f>IF(Table2428308910131415162324[[#This Row],[SPPU]]&gt;=0,0,Table2428308910131415162324[[#This Row],[Total Purchase Amount]]/Table2428308910131415162324[[#This Row],[Purchase QTY]])</f>
        <v>0</v>
      </c>
      <c r="H11" s="9">
        <v>0</v>
      </c>
      <c r="I11" s="9">
        <v>1618</v>
      </c>
      <c r="J11" s="9">
        <f>IFERROR(Table2428308910131415162324[[#This Row],[Sales Amt]]/Table2428308910131415162324[[#This Row],[Sales Qty]],0)</f>
        <v>841.25463535228675</v>
      </c>
      <c r="K11" s="9">
        <v>1361150</v>
      </c>
      <c r="L11" s="9">
        <f>Table2428308910131415162324[[#This Row],[Sales Qty]]*O10</f>
        <v>1303339.6839361242</v>
      </c>
      <c r="M11" s="9">
        <f>M10+Table2428308910131415162324[[#This Row],[Total Purchase Amount]]-Table2428308910131415162324[[#This Row],[Principal Cost As per  NFRS (In case of Sales)]]</f>
        <v>563062.07606387557</v>
      </c>
      <c r="N11" s="9">
        <f>N10+Table2428308910131415162324[[#This Row],[Purchase QTY]]-Table2428308910131415162324[[#This Row],[Sales Qty]]</f>
        <v>699</v>
      </c>
      <c r="O11" s="42">
        <f>IFERROR(Table2428308910131415162324[[#This Row],[TC AP NFRS]]/Table2428308910131415162324[[#This Row],[Unit Sum]],0)</f>
        <v>805.525144583513</v>
      </c>
      <c r="P11" s="10">
        <f>Table2428308910131415162324[[#This Row],[Sales Amt]]-Table2428308910131415162324[[#This Row],[Principal Cost As per  NFRS (In case of Sales)]]</f>
        <v>57810.316063875798</v>
      </c>
      <c r="R11" s="17">
        <v>0</v>
      </c>
      <c r="S11" s="17"/>
      <c r="T11" s="20">
        <f>R11+S11</f>
        <v>0</v>
      </c>
      <c r="U11" s="20">
        <f>H11+T11</f>
        <v>0</v>
      </c>
      <c r="V11" s="20">
        <f>4499.42+204.18</f>
        <v>4703.6000000000004</v>
      </c>
      <c r="W11" s="20">
        <v>25</v>
      </c>
      <c r="X11" s="55">
        <f>V11+W11</f>
        <v>4728.6000000000004</v>
      </c>
      <c r="Y11" s="20">
        <v>0</v>
      </c>
      <c r="Z11" s="20">
        <f>K11-X11-Y11</f>
        <v>1356421.4</v>
      </c>
      <c r="AA11" s="20">
        <f>I11*AC10</f>
        <v>1513736.0799999998</v>
      </c>
      <c r="AB11" s="20">
        <f>AB10+U11-AA11</f>
        <v>655866.74</v>
      </c>
      <c r="AC11" s="20">
        <v>935.56</v>
      </c>
      <c r="AD11" s="56">
        <f>Z11-AA11+Y11</f>
        <v>-157314.67999999993</v>
      </c>
    </row>
    <row r="12" spans="1:31" ht="30" x14ac:dyDescent="0.25">
      <c r="A12" s="5">
        <f t="shared" si="0"/>
        <v>6</v>
      </c>
      <c r="B12" s="6" t="s">
        <v>106</v>
      </c>
      <c r="C12" s="6" t="s">
        <v>879</v>
      </c>
      <c r="D12" s="7">
        <v>45881</v>
      </c>
      <c r="E12" s="8" t="s">
        <v>21</v>
      </c>
      <c r="F12" s="9">
        <v>0</v>
      </c>
      <c r="G12" s="9">
        <f>IF(Table2428308910131415162324[[#This Row],[SPPU]]&gt;=0,0,Table2428308910131415162324[[#This Row],[Total Purchase Amount]]/Table2428308910131415162324[[#This Row],[Purchase QTY]])</f>
        <v>0</v>
      </c>
      <c r="H12" s="9">
        <v>0</v>
      </c>
      <c r="I12" s="9">
        <v>502</v>
      </c>
      <c r="J12" s="9">
        <f>IFERROR(Table2428308910131415162324[[#This Row],[Sales Amt]]/Table2428308910131415162324[[#This Row],[Sales Qty]],0)</f>
        <v>817</v>
      </c>
      <c r="K12" s="9">
        <v>410134</v>
      </c>
      <c r="L12" s="9">
        <f>Table2428308910131415162324[[#This Row],[Sales Qty]]*O11</f>
        <v>404373.62258092355</v>
      </c>
      <c r="M12" s="9">
        <f>M11+Table2428308910131415162324[[#This Row],[Total Purchase Amount]]-Table2428308910131415162324[[#This Row],[Principal Cost As per  NFRS (In case of Sales)]]</f>
        <v>158688.45348295203</v>
      </c>
      <c r="N12" s="9">
        <f>N11+Table2428308910131415162324[[#This Row],[Purchase QTY]]-Table2428308910131415162324[[#This Row],[Sales Qty]]</f>
        <v>197</v>
      </c>
      <c r="O12" s="42">
        <f>IFERROR(Table2428308910131415162324[[#This Row],[TC AP NFRS]]/Table2428308910131415162324[[#This Row],[Unit Sum]],0)</f>
        <v>805.52514458351288</v>
      </c>
      <c r="P12" s="10">
        <f>Table2428308910131415162324[[#This Row],[Sales Amt]]-Table2428308910131415162324[[#This Row],[Principal Cost As per  NFRS (In case of Sales)]]</f>
        <v>5760.3774190764525</v>
      </c>
      <c r="R12" s="17">
        <v>0</v>
      </c>
      <c r="S12" s="17"/>
      <c r="T12" s="20">
        <f>R12+S12</f>
        <v>0</v>
      </c>
      <c r="U12" s="20">
        <f>H12+T12</f>
        <v>0</v>
      </c>
      <c r="V12" s="20">
        <f>1358.83+61.53</f>
        <v>1420.36</v>
      </c>
      <c r="W12" s="20">
        <v>25</v>
      </c>
      <c r="X12" s="55">
        <f>V12+W12</f>
        <v>1445.36</v>
      </c>
      <c r="Y12" s="20">
        <v>0</v>
      </c>
      <c r="Z12" s="20">
        <f>K12-X12-Y12</f>
        <v>408688.64000000001</v>
      </c>
      <c r="AA12" s="20">
        <f>I12*AC11</f>
        <v>469651.12</v>
      </c>
      <c r="AB12" s="20">
        <f>AB11+U12-AA12</f>
        <v>186215.62</v>
      </c>
      <c r="AC12" s="20">
        <v>935.56</v>
      </c>
      <c r="AD12" s="56">
        <f>Z12-AA12+Y12</f>
        <v>-60962.479999999981</v>
      </c>
    </row>
    <row r="13" spans="1:31" x14ac:dyDescent="0.25">
      <c r="A13" s="5">
        <f t="shared" si="0"/>
        <v>7</v>
      </c>
      <c r="B13" s="6"/>
      <c r="C13" s="6"/>
      <c r="D13" s="7"/>
      <c r="E13" s="8"/>
      <c r="F13" s="9"/>
      <c r="G13" s="9">
        <f>IF(Table2428308910131415162324[[#This Row],[SPPU]]&gt;=0,0,Table2428308910131415162324[[#This Row],[Total Purchase Amount]]/Table2428308910131415162324[[#This Row],[Purchase QTY]])</f>
        <v>0</v>
      </c>
      <c r="H13" s="9"/>
      <c r="I13" s="9">
        <v>0</v>
      </c>
      <c r="J13" s="9">
        <f>IFERROR(Table2428308910131415162324[[#This Row],[Sales Amt]]/Table2428308910131415162324[[#This Row],[Sales Qty]],0)</f>
        <v>0</v>
      </c>
      <c r="K13" s="9">
        <v>0</v>
      </c>
      <c r="L13" s="9">
        <f>Table2428308910131415162324[[#This Row],[Sales Qty]]*O11</f>
        <v>0</v>
      </c>
      <c r="M13" s="9">
        <f>M12+Table2428308910131415162324[[#This Row],[Total Purchase Amount]]-Table2428308910131415162324[[#This Row],[Principal Cost As per  NFRS (In case of Sales)]]</f>
        <v>158688.45348295203</v>
      </c>
      <c r="N13" s="9">
        <f>N12+Table2428308910131415162324[[#This Row],[Purchase QTY]]-Table2428308910131415162324[[#This Row],[Sales Qty]]</f>
        <v>197</v>
      </c>
      <c r="O13" s="42">
        <f>IFERROR(Table2428308910131415162324[[#This Row],[TC AP NFRS]]/Table2428308910131415162324[[#This Row],[Unit Sum]],0)</f>
        <v>805.52514458351288</v>
      </c>
      <c r="P13" s="10">
        <f>Table2428308910131415162324[[#This Row],[Sales Amt]]-Table2428308910131415162324[[#This Row],[Principal Cost As per  NFRS (In case of Sales)]]</f>
        <v>0</v>
      </c>
      <c r="R13" s="17">
        <v>0</v>
      </c>
      <c r="S13" s="17"/>
      <c r="T13" s="20">
        <f t="shared" si="1"/>
        <v>0</v>
      </c>
      <c r="U13" s="20">
        <f t="shared" si="2"/>
        <v>0</v>
      </c>
      <c r="V13" s="20">
        <v>0</v>
      </c>
      <c r="W13" s="20">
        <v>0</v>
      </c>
      <c r="X13" s="55">
        <f t="shared" si="3"/>
        <v>0</v>
      </c>
      <c r="Y13" s="20">
        <v>0</v>
      </c>
      <c r="Z13" s="20">
        <f t="shared" si="4"/>
        <v>0</v>
      </c>
      <c r="AA13" s="20">
        <f t="shared" si="5"/>
        <v>0</v>
      </c>
      <c r="AB13" s="20">
        <f t="shared" si="6"/>
        <v>186215.62</v>
      </c>
      <c r="AC13" s="20">
        <f t="shared" si="7"/>
        <v>945.25695431472082</v>
      </c>
      <c r="AD13" s="56">
        <f t="shared" si="8"/>
        <v>0</v>
      </c>
    </row>
    <row r="14" spans="1:3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IF(Table2428308910131415162324[[#This Row],[SPPU]]&gt;=0,0,Table2428308910131415162324[[#This Row],[Total Purchase Amount]]/Table2428308910131415162324[[#This Row],[Purchase QTY]])</f>
        <v>0</v>
      </c>
      <c r="H14" s="9"/>
      <c r="I14" s="9">
        <v>0</v>
      </c>
      <c r="J14" s="9">
        <f>IFERROR(Table2428308910131415162324[[#This Row],[Sales Amt]]/Table2428308910131415162324[[#This Row],[Sales Qty]],0)</f>
        <v>0</v>
      </c>
      <c r="K14" s="9">
        <v>0</v>
      </c>
      <c r="L14" s="9">
        <f>Table2428308910131415162324[[#This Row],[Sales Qty]]*O13</f>
        <v>0</v>
      </c>
      <c r="M14" s="9">
        <f>M13+Table2428308910131415162324[[#This Row],[Total Purchase Amount]]-Table2428308910131415162324[[#This Row],[Principal Cost As per  NFRS (In case of Sales)]]</f>
        <v>158688.45348295203</v>
      </c>
      <c r="N14" s="9">
        <f>N13+Table2428308910131415162324[[#This Row],[Purchase QTY]]-Table2428308910131415162324[[#This Row],[Sales Qty]]</f>
        <v>197</v>
      </c>
      <c r="O14" s="42">
        <f>IFERROR(Table2428308910131415162324[[#This Row],[TC AP NFRS]]/Table2428308910131415162324[[#This Row],[Unit Sum]],0)</f>
        <v>805.52514458351288</v>
      </c>
      <c r="P14" s="10">
        <f>Table2428308910131415162324[[#This Row],[Sales Amt]]-Table2428308910131415162324[[#This Row],[Principal Cost As per  NFRS (In case of Sales)]]</f>
        <v>0</v>
      </c>
      <c r="R14" s="17">
        <v>0</v>
      </c>
      <c r="S14" s="17"/>
      <c r="T14" s="20">
        <f t="shared" si="1"/>
        <v>0</v>
      </c>
      <c r="U14" s="20">
        <f t="shared" si="2"/>
        <v>0</v>
      </c>
      <c r="V14" s="20">
        <v>0</v>
      </c>
      <c r="W14" s="20">
        <v>0</v>
      </c>
      <c r="X14" s="55">
        <f t="shared" si="3"/>
        <v>0</v>
      </c>
      <c r="Y14" s="20">
        <v>0</v>
      </c>
      <c r="Z14" s="20">
        <f t="shared" si="4"/>
        <v>0</v>
      </c>
      <c r="AA14" s="20">
        <f t="shared" si="5"/>
        <v>0</v>
      </c>
      <c r="AB14" s="20">
        <f t="shared" si="6"/>
        <v>186215.62</v>
      </c>
      <c r="AC14" s="20">
        <f t="shared" si="7"/>
        <v>945.25695431472082</v>
      </c>
      <c r="AD14" s="56">
        <f t="shared" si="8"/>
        <v>0</v>
      </c>
    </row>
    <row r="15" spans="1:3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IF(Table2428308910131415162324[[#This Row],[SPPU]]&gt;=0,0,Table2428308910131415162324[[#This Row],[Total Purchase Amount]]/Table2428308910131415162324[[#This Row],[Purchase QTY]])</f>
        <v>0</v>
      </c>
      <c r="H15" s="9"/>
      <c r="I15" s="9">
        <v>0</v>
      </c>
      <c r="J15" s="9">
        <f>IFERROR(Table2428308910131415162324[[#This Row],[Sales Amt]]/Table2428308910131415162324[[#This Row],[Sales Qty]],0)</f>
        <v>0</v>
      </c>
      <c r="K15" s="9">
        <v>0</v>
      </c>
      <c r="L15" s="9">
        <f>Table2428308910131415162324[[#This Row],[Sales Qty]]*O14</f>
        <v>0</v>
      </c>
      <c r="M15" s="9">
        <f>M14+Table2428308910131415162324[[#This Row],[Total Purchase Amount]]-Table2428308910131415162324[[#This Row],[Principal Cost As per  NFRS (In case of Sales)]]</f>
        <v>158688.45348295203</v>
      </c>
      <c r="N15" s="9">
        <f>N14+Table2428308910131415162324[[#This Row],[Purchase QTY]]-Table2428308910131415162324[[#This Row],[Sales Qty]]</f>
        <v>197</v>
      </c>
      <c r="O15" s="42">
        <f>IFERROR(Table2428308910131415162324[[#This Row],[TC AP NFRS]]/Table2428308910131415162324[[#This Row],[Unit Sum]],0)</f>
        <v>805.52514458351288</v>
      </c>
      <c r="P15" s="10">
        <f>Table2428308910131415162324[[#This Row],[Sales Amt]]-Table2428308910131415162324[[#This Row],[Principal Cost As per  NFRS (In case of Sales)]]</f>
        <v>0</v>
      </c>
      <c r="R15" s="17">
        <v>0</v>
      </c>
      <c r="S15" s="17"/>
      <c r="T15" s="20">
        <f t="shared" si="1"/>
        <v>0</v>
      </c>
      <c r="U15" s="20">
        <f t="shared" si="2"/>
        <v>0</v>
      </c>
      <c r="V15" s="20">
        <v>0</v>
      </c>
      <c r="W15" s="20">
        <v>0</v>
      </c>
      <c r="X15" s="55">
        <f t="shared" si="3"/>
        <v>0</v>
      </c>
      <c r="Y15" s="20">
        <v>0</v>
      </c>
      <c r="Z15" s="20">
        <f t="shared" si="4"/>
        <v>0</v>
      </c>
      <c r="AA15" s="20">
        <f t="shared" si="5"/>
        <v>0</v>
      </c>
      <c r="AB15" s="20">
        <f t="shared" si="6"/>
        <v>186215.62</v>
      </c>
      <c r="AC15" s="20">
        <f t="shared" si="7"/>
        <v>945.25695431472082</v>
      </c>
      <c r="AD15" s="56">
        <f t="shared" si="8"/>
        <v>0</v>
      </c>
    </row>
    <row r="16" spans="1:31" ht="15.75" x14ac:dyDescent="0.25">
      <c r="A16" s="11" t="s">
        <v>22</v>
      </c>
      <c r="B16" s="12"/>
      <c r="C16" s="12"/>
      <c r="D16" s="13"/>
      <c r="E16" s="14"/>
      <c r="F16" s="15">
        <f ca="1">SUM(INDIRECT("f4:f"&amp;ROW()-1))</f>
        <v>7517</v>
      </c>
      <c r="G16" s="15"/>
      <c r="H16" s="15">
        <f ca="1">SUM(INDIRECT("h4:h"&amp;ROW()-1))</f>
        <v>5918657.7599999998</v>
      </c>
      <c r="I16" s="15">
        <f ca="1">SUM(INDIRECT("i4:i"&amp;ROW()-1))</f>
        <v>7320</v>
      </c>
      <c r="J16" s="15">
        <f ca="1">Table2428308910131415162324[[#This Row],[Sales Amt]]/Table2428308910131415162324[[#This Row],[Sales Qty]]</f>
        <v>921.00874316939894</v>
      </c>
      <c r="K16" s="15">
        <f>SUBTOTAL(109,K7:K15)</f>
        <v>6741784</v>
      </c>
      <c r="L16" s="15">
        <f>SUBTOTAL(109,L7:L15)</f>
        <v>5759969.3065170478</v>
      </c>
      <c r="M16" s="15">
        <f ca="1">Table2428308910131415162324[[#This Row],[Total Purchase Amount]]-Table2428308910131415162324[[#This Row],[Principal Cost As per  NFRS (In case of Sales)]]</f>
        <v>158688.45348295197</v>
      </c>
      <c r="N16" s="15">
        <f ca="1">Table2428308910131415162324[[#This Row],[Purchase QTY]]-Table2428308910131415162324[[#This Row],[Sales Qty]]</f>
        <v>197</v>
      </c>
      <c r="O16" s="43">
        <f ca="1">Table2428308910131415162324[[#This Row],[TC AP NFRS]]/Table2428308910131415162324[[#This Row],[Unit Sum]]</f>
        <v>805.52514458351254</v>
      </c>
      <c r="P16" s="15">
        <f ca="1">SUM(INDIRECT("p4:p"&amp;ROW()-1))</f>
        <v>981814.69348295219</v>
      </c>
      <c r="R16" s="24">
        <f>SUM(R7:R15)</f>
        <v>1554.06</v>
      </c>
      <c r="S16" s="24">
        <f t="shared" ref="S16:AA16" si="9">SUM(S7:S15)</f>
        <v>25</v>
      </c>
      <c r="T16" s="24">
        <f>SUM(T7:T15)</f>
        <v>1579.06</v>
      </c>
      <c r="U16" s="24">
        <f>SUM(U7:U15)</f>
        <v>7085058.8199999994</v>
      </c>
      <c r="V16" s="24">
        <f>SUM(V7:V15)</f>
        <v>22904.019999999997</v>
      </c>
      <c r="W16" s="24">
        <f t="shared" si="9"/>
        <v>100</v>
      </c>
      <c r="X16" s="24">
        <f>SUM(X7:X15)</f>
        <v>23004.019999999997</v>
      </c>
      <c r="Y16" s="24">
        <f>SUM(Y7:Y15)</f>
        <v>3838.23</v>
      </c>
      <c r="Z16" s="24">
        <f>SUM(Z7:Z15)</f>
        <v>6714941.7499999991</v>
      </c>
      <c r="AA16" s="24">
        <f t="shared" si="9"/>
        <v>6898843.2000000002</v>
      </c>
      <c r="AB16" s="24">
        <f>U16-AA16</f>
        <v>186215.61999999918</v>
      </c>
      <c r="AC16" s="26">
        <f t="shared" ca="1" si="7"/>
        <v>945.25695431471661</v>
      </c>
      <c r="AD16" s="24">
        <f>SUM(AD7:AD15)</f>
        <v>-180063.21999999986</v>
      </c>
    </row>
    <row r="18" spans="1:30" x14ac:dyDescent="0.25">
      <c r="A18" t="s">
        <v>882</v>
      </c>
      <c r="R18" s="120" t="s">
        <v>20</v>
      </c>
      <c r="S18" s="121"/>
      <c r="T18" s="121"/>
      <c r="U18" s="50"/>
      <c r="V18" s="120" t="s">
        <v>67</v>
      </c>
      <c r="W18" s="121"/>
      <c r="X18" s="121"/>
      <c r="Y18" s="123" t="s">
        <v>13</v>
      </c>
      <c r="Z18" s="124" t="s">
        <v>10</v>
      </c>
      <c r="AA18" s="125" t="s">
        <v>66</v>
      </c>
      <c r="AB18" s="123" t="s">
        <v>15</v>
      </c>
      <c r="AC18" s="123" t="s">
        <v>18</v>
      </c>
      <c r="AD18" s="123" t="s">
        <v>12</v>
      </c>
    </row>
    <row r="19" spans="1:30" ht="60" x14ac:dyDescent="0.25">
      <c r="A19" s="1" t="s">
        <v>57</v>
      </c>
      <c r="B19" s="2" t="s">
        <v>0</v>
      </c>
      <c r="C19" s="2" t="s">
        <v>53</v>
      </c>
      <c r="D19" s="2" t="s">
        <v>1</v>
      </c>
      <c r="E19" s="2" t="s">
        <v>2</v>
      </c>
      <c r="F19" s="2" t="s">
        <v>3</v>
      </c>
      <c r="G19" s="2" t="s">
        <v>4</v>
      </c>
      <c r="H19" s="2" t="s">
        <v>51</v>
      </c>
      <c r="I19" s="2" t="s">
        <v>6</v>
      </c>
      <c r="J19" s="16" t="s">
        <v>7</v>
      </c>
      <c r="K19" s="16" t="s">
        <v>8</v>
      </c>
      <c r="L19" s="2" t="s">
        <v>50</v>
      </c>
      <c r="M19" s="2" t="s">
        <v>14</v>
      </c>
      <c r="N19" s="2" t="s">
        <v>16</v>
      </c>
      <c r="O19" s="4" t="s">
        <v>17</v>
      </c>
      <c r="P19" s="3" t="s">
        <v>11</v>
      </c>
      <c r="R19" s="2" t="s">
        <v>65</v>
      </c>
      <c r="S19" s="2" t="s">
        <v>62</v>
      </c>
      <c r="T19" s="2" t="s">
        <v>5</v>
      </c>
      <c r="U19" s="2" t="s">
        <v>164</v>
      </c>
      <c r="V19" s="16" t="s">
        <v>64</v>
      </c>
      <c r="W19" s="16" t="s">
        <v>62</v>
      </c>
      <c r="X19" s="45" t="s">
        <v>9</v>
      </c>
      <c r="Y19" s="123"/>
      <c r="Z19" s="124"/>
      <c r="AA19" s="125"/>
      <c r="AB19" s="123"/>
      <c r="AC19" s="123"/>
      <c r="AD19" s="123"/>
    </row>
    <row r="20" spans="1:30" x14ac:dyDescent="0.25">
      <c r="A20" s="96">
        <v>1</v>
      </c>
      <c r="B20" s="97" t="s">
        <v>106</v>
      </c>
      <c r="C20" s="97"/>
      <c r="D20" s="98">
        <v>45855</v>
      </c>
      <c r="E20" s="99" t="s">
        <v>19</v>
      </c>
      <c r="F20" s="59">
        <v>7517</v>
      </c>
      <c r="G20" s="59"/>
      <c r="H20" s="59">
        <v>5918657.7599999998</v>
      </c>
      <c r="I20" s="59">
        <v>7320</v>
      </c>
      <c r="J20" s="59">
        <v>921.00874316939894</v>
      </c>
      <c r="K20" s="59">
        <v>6741784</v>
      </c>
      <c r="L20" s="59">
        <v>5759969.3065170478</v>
      </c>
      <c r="M20" s="59">
        <v>158688.45348295197</v>
      </c>
      <c r="N20" s="59">
        <v>197</v>
      </c>
      <c r="O20" s="59">
        <v>805.52514458351254</v>
      </c>
      <c r="P20" s="59">
        <v>981814.69348295219</v>
      </c>
      <c r="Q20" s="59"/>
      <c r="R20" s="59">
        <v>1554.06</v>
      </c>
      <c r="S20" s="59">
        <v>25</v>
      </c>
      <c r="T20" s="59">
        <v>1579.06</v>
      </c>
      <c r="U20" s="59">
        <v>7085058.8199999994</v>
      </c>
      <c r="V20" s="59">
        <v>22904.019999999997</v>
      </c>
      <c r="W20" s="59">
        <v>100</v>
      </c>
      <c r="X20" s="59">
        <v>23004.019999999997</v>
      </c>
      <c r="Y20" s="59">
        <v>3838.23</v>
      </c>
      <c r="Z20" s="59">
        <v>6714941.7499999991</v>
      </c>
      <c r="AA20" s="59">
        <v>6898843.2000000002</v>
      </c>
      <c r="AB20" s="59">
        <v>186215.61999999918</v>
      </c>
      <c r="AC20" s="59">
        <v>945.25695431471661</v>
      </c>
      <c r="AD20" s="59">
        <v>-180063.21999999986</v>
      </c>
    </row>
  </sheetData>
  <mergeCells count="16">
    <mergeCell ref="AB18:AB19"/>
    <mergeCell ref="AC18:AC19"/>
    <mergeCell ref="AD18:AD19"/>
    <mergeCell ref="R18:T18"/>
    <mergeCell ref="V18:X18"/>
    <mergeCell ref="Y18:Y19"/>
    <mergeCell ref="Z18:Z19"/>
    <mergeCell ref="AA18:AA19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19685039370078741" right="0.19685039370078741" top="0.74803149606299213" bottom="0.74803149606299213" header="0.31496062992125984" footer="0.31496062992125984"/>
  <pageSetup paperSize="9" scale="47" fitToHeight="0" orientation="landscape" horizontalDpi="300" verticalDpi="300" r:id="rId1"/>
  <colBreaks count="1" manualBreakCount="1">
    <brk id="25" max="1048575" man="1"/>
  </colBreak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D3B180C-2CFB-4778-BD27-0B6022FDDA33}">
          <x14:formula1>
            <xm:f>VALIDATION!$A$2:$A$7</xm:f>
          </x14:formula1>
          <xm:sqref>E7:E15 E20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3C12D-737C-4A17-9393-F2371C501528}">
  <dimension ref="A1:AE15"/>
  <sheetViews>
    <sheetView view="pageBreakPreview" zoomScaleNormal="100" zoomScaleSheetLayoutView="100" workbookViewId="0">
      <selection activeCell="AD13" sqref="A13:AD14"/>
    </sheetView>
  </sheetViews>
  <sheetFormatPr defaultRowHeight="15" x14ac:dyDescent="0.25"/>
  <cols>
    <col min="1" max="1" width="3.85546875" customWidth="1"/>
    <col min="2" max="2" width="5.5703125" customWidth="1"/>
    <col min="3" max="3" width="16.85546875" bestFit="1" customWidth="1"/>
    <col min="4" max="4" width="10.28515625" bestFit="1" customWidth="1"/>
    <col min="6" max="6" width="11.42578125" bestFit="1" customWidth="1"/>
    <col min="7" max="7" width="9.28515625" bestFit="1" customWidth="1"/>
    <col min="8" max="8" width="15.42578125" bestFit="1" customWidth="1"/>
    <col min="9" max="9" width="10.85546875" bestFit="1" customWidth="1"/>
    <col min="10" max="10" width="9.5703125" customWidth="1"/>
    <col min="11" max="11" width="15.42578125" bestFit="1" customWidth="1"/>
    <col min="12" max="12" width="15.140625" bestFit="1" customWidth="1"/>
    <col min="13" max="13" width="13.140625" bestFit="1" customWidth="1"/>
    <col min="14" max="15" width="9.42578125" bestFit="1" customWidth="1"/>
    <col min="16" max="16" width="13.42578125" bestFit="1" customWidth="1"/>
    <col min="17" max="17" width="2.28515625" customWidth="1"/>
    <col min="21" max="21" width="15.5703125" bestFit="1" customWidth="1"/>
    <col min="22" max="22" width="11.42578125" bestFit="1" customWidth="1"/>
    <col min="23" max="23" width="9.42578125" customWidth="1"/>
    <col min="24" max="24" width="11.42578125" bestFit="1" customWidth="1"/>
    <col min="25" max="25" width="8.425781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114</v>
      </c>
      <c r="C7" s="6"/>
      <c r="D7" s="7">
        <v>45855</v>
      </c>
      <c r="E7" s="8" t="s">
        <v>19</v>
      </c>
      <c r="F7" s="9">
        <v>3203</v>
      </c>
      <c r="G7" s="9">
        <v>645.17999999999995</v>
      </c>
      <c r="H7" s="9">
        <f>Table242830891013141516232425[[#This Row],[Purchase QTY]]*Table242830891013141516232425[[#This Row],[PPPU]]</f>
        <v>2066511.5399999998</v>
      </c>
      <c r="I7" s="9"/>
      <c r="J7" s="9"/>
      <c r="K7" s="9"/>
      <c r="L7" s="9"/>
      <c r="M7" s="9">
        <f>Table242830891013141516232425[[#This Row],[Total Purchase Amount]]</f>
        <v>2066511.5399999998</v>
      </c>
      <c r="N7" s="9">
        <f>IF(Table242830891013141516232425[[#This Row],[Txn Type]]="opening",Table242830891013141516232425[[#This Row],[Purchase QTY]],"Error")</f>
        <v>3203</v>
      </c>
      <c r="O7" s="42">
        <f>IFERROR(Table242830891013141516232425[[#This Row],[TC AP NFRS]]/Table242830891013141516232425[[#This Row],[Unit Sum]],0)</f>
        <v>645.17999999999995</v>
      </c>
      <c r="P7" s="10">
        <f>Table242830891013141516232425[[#This Row],[Sales Amt]]-Table242830891013141516232425[[#This Row],[Principal Cost As per  NFRS (In case of Sales)]]</f>
        <v>0</v>
      </c>
      <c r="R7" s="17"/>
      <c r="S7" s="17"/>
      <c r="T7" s="20">
        <f>R7+S7</f>
        <v>0</v>
      </c>
      <c r="U7" s="20">
        <f>AB7</f>
        <v>2862745.31</v>
      </c>
      <c r="V7" s="20"/>
      <c r="W7" s="20"/>
      <c r="X7" s="20"/>
      <c r="Y7" s="46"/>
      <c r="Z7" s="46"/>
      <c r="AA7" s="46"/>
      <c r="AB7" s="46">
        <f>F7*AC7</f>
        <v>2862745.31</v>
      </c>
      <c r="AC7" s="46">
        <v>893.77</v>
      </c>
      <c r="AD7" s="58"/>
    </row>
    <row r="8" spans="1:31" ht="30" x14ac:dyDescent="0.25">
      <c r="A8" s="5">
        <f>A7+1</f>
        <v>2</v>
      </c>
      <c r="B8" s="6" t="s">
        <v>114</v>
      </c>
      <c r="C8" s="6" t="s">
        <v>115</v>
      </c>
      <c r="D8" s="7">
        <v>45861</v>
      </c>
      <c r="E8" s="8" t="s">
        <v>21</v>
      </c>
      <c r="F8" s="9">
        <v>0</v>
      </c>
      <c r="G8" s="9">
        <f>IF(Table242830891013141516232425[[#This Row],[SPPU]]&gt;=0,0,Table242830891013141516232425[[#This Row],[Total Purchase Amount]]/Table242830891013141516232425[[#This Row],[Purchase QTY]])</f>
        <v>0</v>
      </c>
      <c r="H8" s="9">
        <v>0</v>
      </c>
      <c r="I8" s="9">
        <v>1370</v>
      </c>
      <c r="J8" s="9">
        <f>IFERROR(Table242830891013141516232425[[#This Row],[Sales Amt]]/Table242830891013141516232425[[#This Row],[Sales Qty]],0)</f>
        <v>682.89781021897807</v>
      </c>
      <c r="K8" s="9">
        <v>935570</v>
      </c>
      <c r="L8" s="9">
        <f>Table242830891013141516232425[[#This Row],[Sales Qty]]*O7</f>
        <v>883896.6</v>
      </c>
      <c r="M8" s="9">
        <f>M7+Table242830891013141516232425[[#This Row],[Total Purchase Amount]]-Table242830891013141516232425[[#This Row],[Principal Cost As per  NFRS (In case of Sales)]]</f>
        <v>1182614.94</v>
      </c>
      <c r="N8" s="9">
        <f>N7+Table242830891013141516232425[[#This Row],[Purchase QTY]]-Table242830891013141516232425[[#This Row],[Sales Qty]]</f>
        <v>1833</v>
      </c>
      <c r="O8" s="42">
        <f>IFERROR(Table242830891013141516232425[[#This Row],[TC AP NFRS]]/Table242830891013141516232425[[#This Row],[Unit Sum]],0)</f>
        <v>645.17999999999995</v>
      </c>
      <c r="P8" s="10">
        <f>Table242830891013141516232425[[#This Row],[Sales Amt]]-Table242830891013141516232425[[#This Row],[Principal Cost As per  NFRS (In case of Sales)]]</f>
        <v>51673.400000000023</v>
      </c>
      <c r="R8" s="17">
        <v>0</v>
      </c>
      <c r="S8" s="17"/>
      <c r="T8" s="20">
        <f>R8+S8</f>
        <v>0</v>
      </c>
      <c r="U8" s="20">
        <f>H8+T8</f>
        <v>0</v>
      </c>
      <c r="V8" s="20">
        <f>140.34+3132.6</f>
        <v>3272.94</v>
      </c>
      <c r="W8" s="20">
        <v>25</v>
      </c>
      <c r="X8" s="55">
        <f>V8+W8</f>
        <v>3297.94</v>
      </c>
      <c r="Y8" s="20">
        <v>0</v>
      </c>
      <c r="Z8" s="20">
        <f>K8-X8-Y8</f>
        <v>932272.06</v>
      </c>
      <c r="AA8" s="20">
        <f>I8*AC7</f>
        <v>1224464.8999999999</v>
      </c>
      <c r="AB8" s="20">
        <f>AB7+U8-AA8</f>
        <v>1638280.4100000001</v>
      </c>
      <c r="AC8" s="20">
        <f>IFERROR(AB8/N8,0)</f>
        <v>893.7700000000001</v>
      </c>
      <c r="AD8" s="58">
        <f>Z8-AA8+Y8</f>
        <v>-292192.83999999985</v>
      </c>
    </row>
    <row r="9" spans="1:31" ht="30" x14ac:dyDescent="0.25">
      <c r="A9" s="5">
        <f t="shared" ref="A9:A10" si="0">A8+1</f>
        <v>3</v>
      </c>
      <c r="B9" s="6" t="s">
        <v>114</v>
      </c>
      <c r="C9" s="6" t="s">
        <v>133</v>
      </c>
      <c r="D9" s="7">
        <v>45865</v>
      </c>
      <c r="E9" s="8" t="s">
        <v>21</v>
      </c>
      <c r="F9" s="9"/>
      <c r="G9" s="9">
        <f>IF(Table242830891013141516232425[[#This Row],[SPPU]]&gt;=0,0,Table242830891013141516232425[[#This Row],[Total Purchase Amount]]/Table242830891013141516232425[[#This Row],[Purchase QTY]])</f>
        <v>0</v>
      </c>
      <c r="H9" s="9"/>
      <c r="I9" s="9">
        <v>500</v>
      </c>
      <c r="J9" s="9">
        <f>IFERROR(Table242830891013141516232425[[#This Row],[Sales Amt]]/Table242830891013141516232425[[#This Row],[Sales Qty]],0)</f>
        <v>680</v>
      </c>
      <c r="K9" s="9">
        <v>340000</v>
      </c>
      <c r="L9" s="9">
        <f>Table242830891013141516232425[[#This Row],[Sales Qty]]*O8</f>
        <v>322590</v>
      </c>
      <c r="M9" s="9">
        <f>M8+Table242830891013141516232425[[#This Row],[Total Purchase Amount]]-Table242830891013141516232425[[#This Row],[Principal Cost As per  NFRS (In case of Sales)]]</f>
        <v>860024.94</v>
      </c>
      <c r="N9" s="9">
        <f>N8+Table242830891013141516232425[[#This Row],[Purchase QTY]]-Table242830891013141516232425[[#This Row],[Sales Qty]]</f>
        <v>1333</v>
      </c>
      <c r="O9" s="42">
        <f>IFERROR(Table242830891013141516232425[[#This Row],[TC AP NFRS]]/Table242830891013141516232425[[#This Row],[Unit Sum]],0)</f>
        <v>645.17999999999995</v>
      </c>
      <c r="P9" s="10">
        <f>Table242830891013141516232425[[#This Row],[Sales Amt]]-Table242830891013141516232425[[#This Row],[Principal Cost As per  NFRS (In case of Sales)]]</f>
        <v>17410</v>
      </c>
      <c r="R9" s="17">
        <v>0</v>
      </c>
      <c r="S9" s="17"/>
      <c r="T9" s="20">
        <f t="shared" ref="T9:T10" si="1">R9+S9</f>
        <v>0</v>
      </c>
      <c r="U9" s="20">
        <f t="shared" ref="U9:U10" si="2">H9+T9</f>
        <v>0</v>
      </c>
      <c r="V9" s="20">
        <f>51+1126.69</f>
        <v>1177.69</v>
      </c>
      <c r="W9" s="20">
        <v>25</v>
      </c>
      <c r="X9" s="55">
        <f t="shared" ref="X9:X10" si="3">V9+W9</f>
        <v>1202.69</v>
      </c>
      <c r="Y9" s="20">
        <v>0</v>
      </c>
      <c r="Z9" s="20">
        <f t="shared" ref="Z9:Z10" si="4">K9-X9-Y9</f>
        <v>338797.31</v>
      </c>
      <c r="AA9" s="20">
        <f t="shared" ref="AA9:AA10" si="5">I9*AC8</f>
        <v>446885.00000000006</v>
      </c>
      <c r="AB9" s="20">
        <f t="shared" ref="AB9:AB10" si="6">AB8+U9-AA9</f>
        <v>1191395.4100000001</v>
      </c>
      <c r="AC9" s="20">
        <f t="shared" ref="AC9:AC10" si="7">IFERROR(AB9/N9,0)</f>
        <v>893.7700000000001</v>
      </c>
      <c r="AD9" s="58">
        <f t="shared" ref="AD9:AD10" si="8">Z9-AA9+Y9</f>
        <v>-108087.69000000006</v>
      </c>
    </row>
    <row r="10" spans="1:31" ht="30" x14ac:dyDescent="0.25">
      <c r="A10" s="5">
        <f t="shared" si="0"/>
        <v>4</v>
      </c>
      <c r="B10" s="6" t="s">
        <v>114</v>
      </c>
      <c r="C10" s="6" t="s">
        <v>139</v>
      </c>
      <c r="D10" s="7">
        <v>45866</v>
      </c>
      <c r="E10" s="8" t="s">
        <v>21</v>
      </c>
      <c r="F10" s="9"/>
      <c r="G10" s="9">
        <f>IF(Table242830891013141516232425[[#This Row],[SPPU]]&gt;=0,0,Table242830891013141516232425[[#This Row],[Total Purchase Amount]]/Table242830891013141516232425[[#This Row],[Purchase QTY]])</f>
        <v>0</v>
      </c>
      <c r="H10" s="9"/>
      <c r="I10" s="9">
        <v>1333</v>
      </c>
      <c r="J10" s="9">
        <f>IFERROR(Table242830891013141516232425[[#This Row],[Sales Amt]]/Table242830891013141516232425[[#This Row],[Sales Qty]],0)</f>
        <v>673.03795948987249</v>
      </c>
      <c r="K10" s="9">
        <v>897159.6</v>
      </c>
      <c r="L10" s="9">
        <f>Table242830891013141516232425[[#This Row],[Sales Qty]]*O9</f>
        <v>860024.94</v>
      </c>
      <c r="M10" s="9">
        <f>M9+Table242830891013141516232425[[#This Row],[Total Purchase Amount]]-Table242830891013141516232425[[#This Row],[Principal Cost As per  NFRS (In case of Sales)]]</f>
        <v>0</v>
      </c>
      <c r="N10" s="9">
        <f>N9+Table242830891013141516232425[[#This Row],[Purchase QTY]]-Table242830891013141516232425[[#This Row],[Sales Qty]]</f>
        <v>0</v>
      </c>
      <c r="O10" s="42">
        <f>IFERROR(Table242830891013141516232425[[#This Row],[TC AP NFRS]]/Table242830891013141516232425[[#This Row],[Unit Sum]],0)</f>
        <v>0</v>
      </c>
      <c r="P10" s="10">
        <f>Table242830891013141516232425[[#This Row],[Sales Amt]]-Table242830891013141516232425[[#This Row],[Principal Cost As per  NFRS (In case of Sales)]]</f>
        <v>37134.660000000033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f>134.61+3034.8</f>
        <v>3169.4100000000003</v>
      </c>
      <c r="W10" s="20">
        <v>25</v>
      </c>
      <c r="X10" s="55">
        <f t="shared" si="3"/>
        <v>3194.4100000000003</v>
      </c>
      <c r="Y10" s="20">
        <v>0</v>
      </c>
      <c r="Z10" s="20">
        <f t="shared" si="4"/>
        <v>893965.19</v>
      </c>
      <c r="AA10" s="20">
        <f t="shared" si="5"/>
        <v>1191395.4100000001</v>
      </c>
      <c r="AB10" s="20">
        <f t="shared" si="6"/>
        <v>0</v>
      </c>
      <c r="AC10" s="20">
        <f t="shared" si="7"/>
        <v>0</v>
      </c>
      <c r="AD10" s="58">
        <f t="shared" si="8"/>
        <v>-297430.2200000002</v>
      </c>
    </row>
    <row r="11" spans="1:31" ht="15.75" x14ac:dyDescent="0.25">
      <c r="A11" s="11" t="s">
        <v>22</v>
      </c>
      <c r="B11" s="12"/>
      <c r="C11" s="12"/>
      <c r="D11" s="13"/>
      <c r="E11" s="14"/>
      <c r="F11" s="15">
        <f ca="1">SUM(INDIRECT("f4:f"&amp;ROW()-1))</f>
        <v>3203</v>
      </c>
      <c r="G11" s="15"/>
      <c r="H11" s="15">
        <f ca="1">SUM(INDIRECT("h4:h"&amp;ROW()-1))</f>
        <v>2066511.5399999998</v>
      </c>
      <c r="I11" s="15">
        <f ca="1">SUM(INDIRECT("i4:i"&amp;ROW()-1))</f>
        <v>3203</v>
      </c>
      <c r="J11" s="15">
        <f ca="1">Table242830891013141516232425[[#This Row],[Sales Amt]]/Table242830891013141516232425[[#This Row],[Sales Qty]]</f>
        <v>678.34205432407123</v>
      </c>
      <c r="K11" s="15">
        <f>SUBTOTAL(109,K7:K10)</f>
        <v>2172729.6</v>
      </c>
      <c r="L11" s="15">
        <f>SUBTOTAL(109,L7:L10)</f>
        <v>2066511.54</v>
      </c>
      <c r="M11" s="15">
        <f ca="1">Table242830891013141516232425[[#This Row],[Total Purchase Amount]]-Table242830891013141516232425[[#This Row],[Principal Cost As per  NFRS (In case of Sales)]]</f>
        <v>0</v>
      </c>
      <c r="N11" s="15">
        <f ca="1">Table242830891013141516232425[[#This Row],[Purchase QTY]]-Table242830891013141516232425[[#This Row],[Sales Qty]]</f>
        <v>0</v>
      </c>
      <c r="O11" s="43">
        <f ca="1">IFERROR(Table242830891013141516232425[[#This Row],[TC AP NFRS]]/Table242830891013141516232425[[#This Row],[Unit Sum]],0)</f>
        <v>0</v>
      </c>
      <c r="P11" s="15">
        <f ca="1">SUM(INDIRECT("p4:p"&amp;ROW()-1))</f>
        <v>106218.06000000006</v>
      </c>
      <c r="R11" s="24">
        <f>SUM(R7:R10)</f>
        <v>0</v>
      </c>
      <c r="S11" s="24">
        <f t="shared" ref="S11:Y11" si="9">SUM(S7:S10)</f>
        <v>0</v>
      </c>
      <c r="T11" s="24">
        <f t="shared" si="9"/>
        <v>0</v>
      </c>
      <c r="U11" s="24">
        <f t="shared" si="9"/>
        <v>2862745.31</v>
      </c>
      <c r="V11" s="24">
        <f>SUM(V7:V10)</f>
        <v>7620.0400000000009</v>
      </c>
      <c r="W11" s="24">
        <f t="shared" si="9"/>
        <v>75</v>
      </c>
      <c r="X11" s="24">
        <f t="shared" si="9"/>
        <v>7695.0400000000009</v>
      </c>
      <c r="Y11" s="24">
        <f t="shared" si="9"/>
        <v>0</v>
      </c>
      <c r="Z11" s="24">
        <f>SUM(Z7:Z10)</f>
        <v>2165034.56</v>
      </c>
      <c r="AA11" s="24">
        <f>SUM(AA7:AA10)</f>
        <v>2862745.31</v>
      </c>
      <c r="AB11" s="24">
        <f>U11-AA11</f>
        <v>0</v>
      </c>
      <c r="AC11" s="26">
        <f ca="1">IFERROR(AB11/Table242830891013141516232425[[#This Row],[Unit Sum]],0)</f>
        <v>0</v>
      </c>
      <c r="AD11" s="24">
        <f>SUM(AD7:AD10)</f>
        <v>-697710.75000000012</v>
      </c>
    </row>
    <row r="13" spans="1:31" x14ac:dyDescent="0.25">
      <c r="A13" t="s">
        <v>882</v>
      </c>
      <c r="R13" s="120" t="s">
        <v>20</v>
      </c>
      <c r="S13" s="121"/>
      <c r="T13" s="121"/>
      <c r="U13" s="50"/>
      <c r="V13" s="120" t="s">
        <v>67</v>
      </c>
      <c r="W13" s="121"/>
      <c r="X13" s="121"/>
      <c r="Y13" s="123" t="s">
        <v>13</v>
      </c>
      <c r="Z13" s="124" t="s">
        <v>10</v>
      </c>
      <c r="AA13" s="125" t="s">
        <v>66</v>
      </c>
      <c r="AB13" s="123" t="s">
        <v>15</v>
      </c>
      <c r="AC13" s="123" t="s">
        <v>18</v>
      </c>
      <c r="AD13" s="123" t="s">
        <v>12</v>
      </c>
    </row>
    <row r="14" spans="1:31" ht="75" x14ac:dyDescent="0.25">
      <c r="A14" s="1" t="s">
        <v>57</v>
      </c>
      <c r="B14" s="2" t="s">
        <v>0</v>
      </c>
      <c r="C14" s="2" t="s">
        <v>53</v>
      </c>
      <c r="D14" s="2" t="s">
        <v>1</v>
      </c>
      <c r="E14" s="2" t="s">
        <v>2</v>
      </c>
      <c r="F14" s="2" t="s">
        <v>3</v>
      </c>
      <c r="G14" s="2" t="s">
        <v>4</v>
      </c>
      <c r="H14" s="2" t="s">
        <v>51</v>
      </c>
      <c r="I14" s="2" t="s">
        <v>6</v>
      </c>
      <c r="J14" s="16" t="s">
        <v>7</v>
      </c>
      <c r="K14" s="16" t="s">
        <v>8</v>
      </c>
      <c r="L14" s="2" t="s">
        <v>50</v>
      </c>
      <c r="M14" s="2" t="s">
        <v>14</v>
      </c>
      <c r="N14" s="2" t="s">
        <v>16</v>
      </c>
      <c r="O14" s="4" t="s">
        <v>17</v>
      </c>
      <c r="P14" s="3" t="s">
        <v>11</v>
      </c>
      <c r="R14" s="2" t="s">
        <v>65</v>
      </c>
      <c r="S14" s="2" t="s">
        <v>62</v>
      </c>
      <c r="T14" s="2" t="s">
        <v>5</v>
      </c>
      <c r="U14" s="2" t="s">
        <v>164</v>
      </c>
      <c r="V14" s="16" t="s">
        <v>64</v>
      </c>
      <c r="W14" s="16" t="s">
        <v>62</v>
      </c>
      <c r="X14" s="45" t="s">
        <v>9</v>
      </c>
      <c r="Y14" s="123"/>
      <c r="Z14" s="124"/>
      <c r="AA14" s="125"/>
      <c r="AB14" s="123"/>
      <c r="AC14" s="123"/>
      <c r="AD14" s="123"/>
    </row>
    <row r="15" spans="1:31" x14ac:dyDescent="0.25">
      <c r="A15" s="96">
        <v>1</v>
      </c>
      <c r="B15" s="97" t="s">
        <v>114</v>
      </c>
      <c r="C15" s="97"/>
      <c r="D15" s="98">
        <v>45886</v>
      </c>
      <c r="E15" s="99" t="s">
        <v>19</v>
      </c>
      <c r="F15" s="59">
        <v>3203</v>
      </c>
      <c r="G15" s="59"/>
      <c r="H15" s="59">
        <v>2066511.5399999998</v>
      </c>
      <c r="I15" s="59">
        <v>3203</v>
      </c>
      <c r="J15" s="59">
        <v>678.34205432407123</v>
      </c>
      <c r="K15" s="59">
        <v>2172729.6</v>
      </c>
      <c r="L15" s="59">
        <v>2066511.54</v>
      </c>
      <c r="M15" s="59">
        <v>0</v>
      </c>
      <c r="N15" s="59">
        <v>0</v>
      </c>
      <c r="O15" s="59">
        <v>0</v>
      </c>
      <c r="P15" s="59">
        <v>106218.06000000006</v>
      </c>
      <c r="Q15" s="59"/>
      <c r="R15" s="59">
        <v>0</v>
      </c>
      <c r="S15" s="59">
        <v>0</v>
      </c>
      <c r="T15" s="59">
        <v>0</v>
      </c>
      <c r="U15" s="59">
        <v>2862745.31</v>
      </c>
      <c r="V15" s="59">
        <v>7620.0400000000009</v>
      </c>
      <c r="W15" s="59">
        <v>75</v>
      </c>
      <c r="X15" s="59">
        <v>7695.0400000000009</v>
      </c>
      <c r="Y15" s="59">
        <v>0</v>
      </c>
      <c r="Z15" s="59">
        <v>2165034.56</v>
      </c>
      <c r="AA15" s="59">
        <v>2862745.31</v>
      </c>
      <c r="AB15" s="59">
        <v>0</v>
      </c>
      <c r="AC15" s="59">
        <v>0</v>
      </c>
      <c r="AD15" s="59">
        <v>-697710.75000000012</v>
      </c>
    </row>
  </sheetData>
  <mergeCells count="16">
    <mergeCell ref="AB13:AB14"/>
    <mergeCell ref="AC13:AC14"/>
    <mergeCell ref="AD13:AD14"/>
    <mergeCell ref="R13:T13"/>
    <mergeCell ref="V13:X13"/>
    <mergeCell ref="Y13:Y14"/>
    <mergeCell ref="Z13:Z14"/>
    <mergeCell ref="AA13:AA14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ax="1048575" man="1"/>
  </colBreaks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F0EA0C-2D44-43E4-A0BE-A2C353F5C47C}">
          <x14:formula1>
            <xm:f>VALIDATION!$A$2:$A$7</xm:f>
          </x14:formula1>
          <xm:sqref>E7:E10 E15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BC5C-116B-4C43-8E40-C37623A47540}">
  <dimension ref="A1:AE19"/>
  <sheetViews>
    <sheetView topLeftCell="M7" zoomScaleNormal="100" workbookViewId="0">
      <selection activeCell="A17" sqref="A17:AD19"/>
    </sheetView>
  </sheetViews>
  <sheetFormatPr defaultRowHeight="15" x14ac:dyDescent="0.25"/>
  <cols>
    <col min="1" max="1" width="3.28515625" customWidth="1"/>
    <col min="2" max="2" width="5.5703125" customWidth="1"/>
    <col min="3" max="3" width="18" bestFit="1" customWidth="1"/>
    <col min="4" max="4" width="10.28515625" bestFit="1" customWidth="1"/>
    <col min="6" max="6" width="11.42578125" bestFit="1" customWidth="1"/>
    <col min="7" max="7" width="8.5703125" customWidth="1"/>
    <col min="8" max="8" width="15.5703125" bestFit="1" customWidth="1"/>
    <col min="9" max="9" width="10.85546875" bestFit="1" customWidth="1"/>
    <col min="10" max="10" width="9.5703125" customWidth="1"/>
    <col min="11" max="12" width="15.140625" bestFit="1" customWidth="1"/>
    <col min="13" max="13" width="14.5703125" bestFit="1" customWidth="1"/>
    <col min="14" max="14" width="10.85546875" bestFit="1" customWidth="1"/>
    <col min="15" max="15" width="9" customWidth="1"/>
    <col min="16" max="16" width="13.42578125" bestFit="1" customWidth="1"/>
    <col min="17" max="17" width="4.28515625" customWidth="1"/>
    <col min="18" max="18" width="7.42578125" customWidth="1"/>
    <col min="19" max="19" width="7" customWidth="1"/>
    <col min="21" max="21" width="16.42578125" customWidth="1"/>
    <col min="22" max="22" width="12.5703125" bestFit="1" customWidth="1"/>
    <col min="23" max="23" width="9.85546875" bestFit="1" customWidth="1"/>
    <col min="24" max="24" width="12.5703125" bestFit="1" customWidth="1"/>
    <col min="25" max="25" width="11.425781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90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ht="30" x14ac:dyDescent="0.25">
      <c r="A7" s="5">
        <v>1</v>
      </c>
      <c r="B7" s="6" t="s">
        <v>118</v>
      </c>
      <c r="C7" s="6"/>
      <c r="D7" s="7">
        <v>45855</v>
      </c>
      <c r="E7" s="8" t="s">
        <v>19</v>
      </c>
      <c r="F7" s="9">
        <v>6943</v>
      </c>
      <c r="G7" s="9">
        <v>532.46</v>
      </c>
      <c r="H7" s="9">
        <f>Table242830891013141516171819202126[[#This Row],[Purchase QTY]]*Table242830891013141516171819202126[[#This Row],[PPPU]]</f>
        <v>3696869.7800000003</v>
      </c>
      <c r="I7" s="9"/>
      <c r="J7" s="9"/>
      <c r="K7" s="9"/>
      <c r="L7" s="9"/>
      <c r="M7" s="9">
        <f>Table242830891013141516171819202126[[#This Row],[Total Purchase Amount]]</f>
        <v>3696869.7800000003</v>
      </c>
      <c r="N7" s="9">
        <f>IF(Table242830891013141516171819202126[[#This Row],[Txn Type]]="opening",Table242830891013141516171819202126[[#This Row],[Purchase QTY]],"Error")</f>
        <v>6943</v>
      </c>
      <c r="O7" s="42">
        <f>IFERROR(Table242830891013141516171819202126[[#This Row],[TC AP NFRS]]/Table242830891013141516171819202126[[#This Row],[Unit Sum]],0)</f>
        <v>532.46</v>
      </c>
      <c r="P7" s="10">
        <f>Table242830891013141516171819202126[[#This Row],[Sales Amt]]-Table242830891013141516171819202126[[#This Row],[Principal Cost As per  NFRS (In case of Sales)]]</f>
        <v>0</v>
      </c>
      <c r="R7" s="17"/>
      <c r="S7" s="17"/>
      <c r="T7" s="20">
        <f>R7+S7</f>
        <v>0</v>
      </c>
      <c r="U7" s="20">
        <f>AB7</f>
        <v>4395196.72</v>
      </c>
      <c r="V7" s="20"/>
      <c r="W7" s="20"/>
      <c r="X7" s="20"/>
      <c r="Y7" s="46"/>
      <c r="Z7" s="46"/>
      <c r="AA7" s="46"/>
      <c r="AB7" s="46">
        <f>F7*AC7</f>
        <v>4395196.72</v>
      </c>
      <c r="AC7" s="46">
        <v>633.04</v>
      </c>
      <c r="AD7" s="56"/>
    </row>
    <row r="8" spans="1:31" ht="30" x14ac:dyDescent="0.25">
      <c r="A8" s="5">
        <f>A7+1</f>
        <v>2</v>
      </c>
      <c r="B8" s="6" t="s">
        <v>118</v>
      </c>
      <c r="C8" s="6" t="s">
        <v>119</v>
      </c>
      <c r="D8" s="7">
        <v>45861</v>
      </c>
      <c r="E8" s="8" t="s">
        <v>112</v>
      </c>
      <c r="F8" s="9">
        <v>0</v>
      </c>
      <c r="G8" s="9">
        <f>IF(Table242830891013141516171819202126[[#This Row],[SPPU]]&gt;=0,0,Table242830891013141516171819202126[[#This Row],[Total Purchase Amount]]/Table242830891013141516171819202126[[#This Row],[Purchase QTY]])</f>
        <v>0</v>
      </c>
      <c r="H8" s="9">
        <v>0</v>
      </c>
      <c r="I8" s="9">
        <v>1000</v>
      </c>
      <c r="J8" s="9">
        <f>Table242830891013141516171819202126[[#This Row],[Sales Amt]]/Table242830891013141516171819202126[[#This Row],[Sales Qty]]</f>
        <v>600</v>
      </c>
      <c r="K8" s="9">
        <v>600000</v>
      </c>
      <c r="L8" s="9">
        <f>Table242830891013141516171819202126[[#This Row],[Sales Qty]]*O7</f>
        <v>532460</v>
      </c>
      <c r="M8" s="9">
        <f>M7+Table242830891013141516171819202126[[#This Row],[Total Purchase Amount]]-Table242830891013141516171819202126[[#This Row],[Principal Cost As per  NFRS (In case of Sales)]]</f>
        <v>3164409.7800000003</v>
      </c>
      <c r="N8" s="9">
        <f>N7+Table242830891013141516171819202126[[#This Row],[Purchase QTY]]-Table242830891013141516171819202126[[#This Row],[Sales Qty]]</f>
        <v>5943</v>
      </c>
      <c r="O8" s="42">
        <f>IFERROR(Table242830891013141516171819202126[[#This Row],[TC AP NFRS]]/Table242830891013141516171819202126[[#This Row],[Unit Sum]],0)</f>
        <v>532.46</v>
      </c>
      <c r="P8" s="10">
        <f>Table242830891013141516171819202126[[#This Row],[Sales Amt]]-Table242830891013141516171819202126[[#This Row],[Principal Cost As per  NFRS (In case of Sales)]]</f>
        <v>67540</v>
      </c>
      <c r="R8" s="17">
        <v>0</v>
      </c>
      <c r="S8" s="17"/>
      <c r="T8" s="20">
        <f>R8+S8</f>
        <v>0</v>
      </c>
      <c r="U8" s="20">
        <f>H8+T8</f>
        <v>0</v>
      </c>
      <c r="V8" s="20">
        <f>90+1860</f>
        <v>1950</v>
      </c>
      <c r="W8" s="20">
        <v>25</v>
      </c>
      <c r="X8" s="55">
        <f>V8+W8</f>
        <v>1975</v>
      </c>
      <c r="Y8" s="20">
        <v>0</v>
      </c>
      <c r="Z8" s="20">
        <f>K8-X8-Y8</f>
        <v>598025</v>
      </c>
      <c r="AA8" s="20">
        <f>I8*AC7</f>
        <v>633040</v>
      </c>
      <c r="AB8" s="20">
        <f>AB7+U8-AA8</f>
        <v>3762156.7199999997</v>
      </c>
      <c r="AC8" s="20">
        <f>IFERROR(AB8/N8,0)</f>
        <v>633.04</v>
      </c>
      <c r="AD8" s="64">
        <f>Z8-AA8+Y8</f>
        <v>-35015</v>
      </c>
    </row>
    <row r="9" spans="1:31" ht="30" x14ac:dyDescent="0.25">
      <c r="A9" s="5">
        <f t="shared" ref="A9:A13" si="0">A8+1</f>
        <v>3</v>
      </c>
      <c r="B9" s="6" t="s">
        <v>118</v>
      </c>
      <c r="C9" s="6" t="s">
        <v>132</v>
      </c>
      <c r="D9" s="7">
        <v>45865</v>
      </c>
      <c r="E9" s="8" t="s">
        <v>112</v>
      </c>
      <c r="F9" s="9">
        <v>0</v>
      </c>
      <c r="G9" s="9">
        <f>IF(Table242830891013141516171819202126[[#This Row],[SPPU]]&gt;=0,0,Table242830891013141516171819202126[[#This Row],[Total Purchase Amount]]/Table242830891013141516171819202126[[#This Row],[Purchase QTY]])</f>
        <v>0</v>
      </c>
      <c r="H9" s="9">
        <v>0</v>
      </c>
      <c r="I9" s="9">
        <v>200</v>
      </c>
      <c r="J9" s="9">
        <f>IFERROR(Table242830891013141516171819202126[[#This Row],[Sales Amt]]/Table242830891013141516171819202126[[#This Row],[Sales Qty]],0)</f>
        <v>640</v>
      </c>
      <c r="K9" s="9">
        <v>128000</v>
      </c>
      <c r="L9" s="9">
        <f>Table242830891013141516171819202126[[#This Row],[Sales Qty]]*O8</f>
        <v>106492</v>
      </c>
      <c r="M9" s="9">
        <f>M8+Table242830891013141516171819202126[[#This Row],[Total Purchase Amount]]-Table242830891013141516171819202126[[#This Row],[Principal Cost As per  NFRS (In case of Sales)]]</f>
        <v>3057917.7800000003</v>
      </c>
      <c r="N9" s="9">
        <f>N8+Table242830891013141516171819202126[[#This Row],[Purchase QTY]]-Table242830891013141516171819202126[[#This Row],[Sales Qty]]</f>
        <v>5743</v>
      </c>
      <c r="O9" s="42">
        <f>IFERROR(Table242830891013141516171819202126[[#This Row],[TC AP NFRS]]/Table242830891013141516171819202126[[#This Row],[Unit Sum]],0)</f>
        <v>532.46</v>
      </c>
      <c r="P9" s="10">
        <f>Table242830891013141516171819202126[[#This Row],[Sales Amt]]-Table242830891013141516171819202126[[#This Row],[Principal Cost As per  NFRS (In case of Sales)]]</f>
        <v>21508</v>
      </c>
      <c r="R9" s="17">
        <v>0</v>
      </c>
      <c r="S9" s="17"/>
      <c r="T9" s="20">
        <f t="shared" ref="T9:T13" si="1">R9+S9</f>
        <v>0</v>
      </c>
      <c r="U9" s="20">
        <f t="shared" ref="U9:U13" si="2">H9+T9</f>
        <v>0</v>
      </c>
      <c r="V9" s="20">
        <f>19.2+422.4</f>
        <v>441.59999999999997</v>
      </c>
      <c r="W9" s="20">
        <v>25</v>
      </c>
      <c r="X9" s="55">
        <f t="shared" ref="X9:X13" si="3">V9+W9</f>
        <v>466.59999999999997</v>
      </c>
      <c r="Y9" s="20">
        <v>92.64</v>
      </c>
      <c r="Z9" s="20">
        <f t="shared" ref="Z9:Z12" si="4">K9-X9-Y9</f>
        <v>127440.76</v>
      </c>
      <c r="AA9" s="20">
        <f t="shared" ref="AA9:AA13" si="5">I9*AC8</f>
        <v>126608</v>
      </c>
      <c r="AB9" s="20">
        <f>AB8+U9-AA9</f>
        <v>3635548.7199999997</v>
      </c>
      <c r="AC9" s="20">
        <f t="shared" ref="AC9:AC14" si="6">IFERROR(AB9/N9,0)</f>
        <v>633.04</v>
      </c>
      <c r="AD9" s="64">
        <f t="shared" ref="AD9:AD13" si="7">Z9-AA9+Y9</f>
        <v>925.39999999999475</v>
      </c>
    </row>
    <row r="10" spans="1:31" ht="30" x14ac:dyDescent="0.25">
      <c r="A10" s="5">
        <f t="shared" si="0"/>
        <v>4</v>
      </c>
      <c r="B10" s="6" t="s">
        <v>118</v>
      </c>
      <c r="C10" s="6" t="s">
        <v>138</v>
      </c>
      <c r="D10" s="7">
        <v>45866</v>
      </c>
      <c r="E10" s="8" t="s">
        <v>112</v>
      </c>
      <c r="F10" s="9"/>
      <c r="G10" s="9">
        <f>IF(Table242830891013141516171819202126[[#This Row],[SPPU]]&gt;=0,0,Table242830891013141516171819202126[[#This Row],[Total Purchase Amount]]/Table242830891013141516171819202126[[#This Row],[Purchase QTY]])</f>
        <v>0</v>
      </c>
      <c r="H10" s="9"/>
      <c r="I10" s="9">
        <v>4945</v>
      </c>
      <c r="J10" s="9">
        <f>IFERROR(Table242830891013141516171819202126[[#This Row],[Sales Amt]]/Table242830891013141516171819202126[[#This Row],[Sales Qty]],0)</f>
        <v>634.74155712841252</v>
      </c>
      <c r="K10" s="9">
        <v>3138797</v>
      </c>
      <c r="L10" s="9">
        <f>Table242830891013141516171819202126[[#This Row],[Sales Qty]]*O9</f>
        <v>2633014.7000000002</v>
      </c>
      <c r="M10" s="9">
        <f>M9+Table242830891013141516171819202126[[#This Row],[Total Purchase Amount]]-Table242830891013141516171819202126[[#This Row],[Principal Cost As per  NFRS (In case of Sales)]]</f>
        <v>424903.08000000007</v>
      </c>
      <c r="N10" s="9">
        <f>N9+Table242830891013141516171819202126[[#This Row],[Purchase QTY]]-Table242830891013141516171819202126[[#This Row],[Sales Qty]]</f>
        <v>798</v>
      </c>
      <c r="O10" s="42">
        <f>IFERROR(Table242830891013141516171819202126[[#This Row],[TC AP NFRS]]/Table242830891013141516171819202126[[#This Row],[Unit Sum]],0)</f>
        <v>532.46000000000015</v>
      </c>
      <c r="P10" s="10">
        <f>Table242830891013141516171819202126[[#This Row],[Sales Amt]]-Table242830891013141516171819202126[[#This Row],[Principal Cost As per  NFRS (In case of Sales)]]</f>
        <v>505782.29999999981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f>470.83+10387.49</f>
        <v>10858.32</v>
      </c>
      <c r="W10" s="20">
        <v>25</v>
      </c>
      <c r="X10" s="55">
        <f t="shared" si="3"/>
        <v>10883.32</v>
      </c>
      <c r="Y10" s="20">
        <v>1451.72</v>
      </c>
      <c r="Z10" s="20">
        <f t="shared" si="4"/>
        <v>3126461.96</v>
      </c>
      <c r="AA10" s="20">
        <f t="shared" si="5"/>
        <v>3130382.8</v>
      </c>
      <c r="AB10" s="20">
        <f>AB9+U10-AA10</f>
        <v>505165.91999999993</v>
      </c>
      <c r="AC10" s="20">
        <f>IFERROR(AB10/N10,0)</f>
        <v>633.03999999999985</v>
      </c>
      <c r="AD10" s="64">
        <f t="shared" si="7"/>
        <v>-2469.1199999998507</v>
      </c>
    </row>
    <row r="11" spans="1:31" ht="30" x14ac:dyDescent="0.25">
      <c r="A11" s="5">
        <f t="shared" si="0"/>
        <v>5</v>
      </c>
      <c r="B11" s="6" t="s">
        <v>118</v>
      </c>
      <c r="C11" s="6" t="s">
        <v>148</v>
      </c>
      <c r="D11" s="7">
        <v>45867</v>
      </c>
      <c r="E11" s="8" t="s">
        <v>112</v>
      </c>
      <c r="F11" s="9"/>
      <c r="G11" s="9">
        <f>IF(Table242830891013141516171819202126[[#This Row],[SPPU]]&gt;=0,0,Table242830891013141516171819202126[[#This Row],[Total Purchase Amount]]/Table242830891013141516171819202126[[#This Row],[Purchase QTY]])</f>
        <v>0</v>
      </c>
      <c r="H11" s="9"/>
      <c r="I11" s="9">
        <v>700</v>
      </c>
      <c r="J11" s="9">
        <f>IFERROR(Table242830891013141516171819202126[[#This Row],[Sales Amt]]/Table242830891013141516171819202126[[#This Row],[Sales Qty]],0)</f>
        <v>662.14285714285711</v>
      </c>
      <c r="K11" s="9">
        <v>463500</v>
      </c>
      <c r="L11" s="9">
        <f>Table242830891013141516171819202126[[#This Row],[Sales Qty]]*O10</f>
        <v>372722.00000000012</v>
      </c>
      <c r="M11" s="9">
        <f>M10+Table242830891013141516171819202126[[#This Row],[Total Purchase Amount]]-Table242830891013141516171819202126[[#This Row],[Principal Cost As per  NFRS (In case of Sales)]]</f>
        <v>52181.079999999958</v>
      </c>
      <c r="N11" s="9">
        <f>N10+Table242830891013141516171819202126[[#This Row],[Purchase QTY]]-Table242830891013141516171819202126[[#This Row],[Sales Qty]]</f>
        <v>98</v>
      </c>
      <c r="O11" s="42">
        <f>IFERROR(Table242830891013141516171819202126[[#This Row],[TC AP NFRS]]/Table242830891013141516171819202126[[#This Row],[Unit Sum]],0)</f>
        <v>532.45999999999958</v>
      </c>
      <c r="P11" s="10">
        <f>Table242830891013141516171819202126[[#This Row],[Sales Amt]]-Table242830891013141516171819202126[[#This Row],[Principal Cost As per  NFRS (In case of Sales)]]</f>
        <v>90777.999999999884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f>69.53+1529.55</f>
        <v>1599.08</v>
      </c>
      <c r="W11" s="20">
        <v>25</v>
      </c>
      <c r="X11" s="55">
        <f t="shared" si="3"/>
        <v>1624.08</v>
      </c>
      <c r="Y11" s="20">
        <v>1875.14</v>
      </c>
      <c r="Z11" s="20">
        <f t="shared" si="4"/>
        <v>460000.77999999997</v>
      </c>
      <c r="AA11" s="20">
        <f t="shared" si="5"/>
        <v>443127.99999999988</v>
      </c>
      <c r="AB11" s="20">
        <f t="shared" ref="AB11:AB13" si="8">AB10+U11-AA11</f>
        <v>62037.920000000042</v>
      </c>
      <c r="AC11" s="20">
        <f t="shared" si="6"/>
        <v>633.04000000000042</v>
      </c>
      <c r="AD11" s="64">
        <f t="shared" si="7"/>
        <v>18747.920000000086</v>
      </c>
    </row>
    <row r="12" spans="1:31" ht="30" x14ac:dyDescent="0.25">
      <c r="A12" s="5">
        <f t="shared" si="0"/>
        <v>6</v>
      </c>
      <c r="B12" s="6" t="s">
        <v>118</v>
      </c>
      <c r="C12" s="6" t="s">
        <v>149</v>
      </c>
      <c r="D12" s="7">
        <v>45869</v>
      </c>
      <c r="E12" s="8" t="s">
        <v>112</v>
      </c>
      <c r="F12" s="9">
        <v>0</v>
      </c>
      <c r="G12" s="9">
        <f>IF(Table242830891013141516171819202126[[#This Row],[SPPU]]&gt;=0,0,Table242830891013141516171819202126[[#This Row],[Total Purchase Amount]]/Table242830891013141516171819202126[[#This Row],[Purchase QTY]])</f>
        <v>0</v>
      </c>
      <c r="H12" s="9">
        <v>0</v>
      </c>
      <c r="I12" s="9">
        <v>89</v>
      </c>
      <c r="J12" s="9">
        <f>IFERROR(Table242830891013141516171819202126[[#This Row],[Sales Amt]]/Table242830891013141516171819202126[[#This Row],[Sales Qty]],0)</f>
        <v>640</v>
      </c>
      <c r="K12" s="9">
        <v>56960</v>
      </c>
      <c r="L12" s="9">
        <f>Table242830891013141516171819202126[[#This Row],[Sales Qty]]*O11</f>
        <v>47388.939999999966</v>
      </c>
      <c r="M12" s="9">
        <f>M11+Table242830891013141516171819202126[[#This Row],[Total Purchase Amount]]-Table242830891013141516171819202126[[#This Row],[Principal Cost As per  NFRS (In case of Sales)]]</f>
        <v>4792.1399999999921</v>
      </c>
      <c r="N12" s="9">
        <f>N11+Table242830891013141516171819202126[[#This Row],[Purchase QTY]]-Table242830891013141516171819202126[[#This Row],[Sales Qty]]</f>
        <v>9</v>
      </c>
      <c r="O12" s="42">
        <f>IFERROR(Table242830891013141516171819202126[[#This Row],[TC AP NFRS]]/Table242830891013141516171819202126[[#This Row],[Unit Sum]],0)</f>
        <v>532.45999999999913</v>
      </c>
      <c r="P12" s="10">
        <f>Table242830891013141516171819202126[[#This Row],[Sales Amt]]-Table242830891013141516171819202126[[#This Row],[Principal Cost As per  NFRS (In case of Sales)]]</f>
        <v>9571.0600000000341</v>
      </c>
      <c r="R12" s="17">
        <v>0</v>
      </c>
      <c r="S12" s="17"/>
      <c r="T12" s="20">
        <f t="shared" si="1"/>
        <v>0</v>
      </c>
      <c r="U12" s="20">
        <f t="shared" si="2"/>
        <v>0</v>
      </c>
      <c r="V12" s="20">
        <f>8.54+187.97</f>
        <v>196.51</v>
      </c>
      <c r="W12" s="20">
        <v>25</v>
      </c>
      <c r="X12" s="55">
        <f t="shared" si="3"/>
        <v>221.51</v>
      </c>
      <c r="Y12" s="20">
        <v>39.840000000000003</v>
      </c>
      <c r="Z12" s="20">
        <f t="shared" si="4"/>
        <v>56698.65</v>
      </c>
      <c r="AA12" s="20">
        <f t="shared" si="5"/>
        <v>56340.560000000034</v>
      </c>
      <c r="AB12" s="20">
        <f t="shared" si="8"/>
        <v>5697.3600000000079</v>
      </c>
      <c r="AC12" s="20">
        <f t="shared" si="6"/>
        <v>633.04000000000087</v>
      </c>
      <c r="AD12" s="64">
        <f t="shared" si="7"/>
        <v>397.92999999996744</v>
      </c>
    </row>
    <row r="13" spans="1:31" ht="30" x14ac:dyDescent="0.25">
      <c r="A13" s="5">
        <f t="shared" si="0"/>
        <v>7</v>
      </c>
      <c r="B13" s="6" t="s">
        <v>118</v>
      </c>
      <c r="C13" s="6" t="s">
        <v>153</v>
      </c>
      <c r="D13" s="7">
        <v>45873</v>
      </c>
      <c r="E13" s="8" t="s">
        <v>112</v>
      </c>
      <c r="F13" s="9">
        <v>0</v>
      </c>
      <c r="G13" s="9">
        <f>IF(Table242830891013141516171819202126[[#This Row],[SPPU]]&gt;=0,0,Table242830891013141516171819202126[[#This Row],[Total Purchase Amount]]/Table242830891013141516171819202126[[#This Row],[Purchase QTY]])</f>
        <v>0</v>
      </c>
      <c r="H13" s="9">
        <v>0</v>
      </c>
      <c r="I13" s="9">
        <v>9</v>
      </c>
      <c r="J13" s="9">
        <f>IFERROR(Table242830891013141516171819202126[[#This Row],[Sales Amt]]/Table242830891013141516171819202126[[#This Row],[Sales Qty]],0)</f>
        <v>640</v>
      </c>
      <c r="K13" s="9">
        <v>5760</v>
      </c>
      <c r="L13" s="9">
        <f>Table242830891013141516171819202126[[#This Row],[Sales Qty]]*O12</f>
        <v>4792.1399999999921</v>
      </c>
      <c r="M13" s="9">
        <f>M12+Table242830891013141516171819202126[[#This Row],[Total Purchase Amount]]-Table242830891013141516171819202126[[#This Row],[Principal Cost As per  NFRS (In case of Sales)]]</f>
        <v>0</v>
      </c>
      <c r="N13" s="9">
        <f>N12+Table242830891013141516171819202126[[#This Row],[Purchase QTY]]-Table242830891013141516171819202126[[#This Row],[Sales Qty]]</f>
        <v>0</v>
      </c>
      <c r="O13" s="42">
        <f>IFERROR(Table242830891013141516171819202126[[#This Row],[TC AP NFRS]]/Table242830891013141516171819202126[[#This Row],[Unit Sum]],0)</f>
        <v>0</v>
      </c>
      <c r="P13" s="10">
        <f>Table242830891013141516171819202126[[#This Row],[Sales Amt]]-Table242830891013141516171819202126[[#This Row],[Principal Cost As per  NFRS (In case of Sales)]]</f>
        <v>967.86000000000786</v>
      </c>
      <c r="R13" s="17">
        <v>0</v>
      </c>
      <c r="S13" s="17"/>
      <c r="T13" s="20">
        <f t="shared" si="1"/>
        <v>0</v>
      </c>
      <c r="U13" s="20">
        <f t="shared" si="2"/>
        <v>0</v>
      </c>
      <c r="V13" s="20">
        <f>0.87+28.43</f>
        <v>29.3</v>
      </c>
      <c r="W13" s="20">
        <v>25</v>
      </c>
      <c r="X13" s="55">
        <f t="shared" si="3"/>
        <v>54.3</v>
      </c>
      <c r="Y13" s="20">
        <v>1.43</v>
      </c>
      <c r="Z13" s="20">
        <f>K13-X13-Y13</f>
        <v>5704.2699999999995</v>
      </c>
      <c r="AA13" s="20">
        <f t="shared" si="5"/>
        <v>5697.3600000000079</v>
      </c>
      <c r="AB13" s="20">
        <f t="shared" si="8"/>
        <v>0</v>
      </c>
      <c r="AC13" s="20">
        <f t="shared" si="6"/>
        <v>0</v>
      </c>
      <c r="AD13" s="64">
        <f t="shared" si="7"/>
        <v>8.3399999999916687</v>
      </c>
      <c r="AE13" s="62"/>
    </row>
    <row r="14" spans="1:31" ht="15.75" x14ac:dyDescent="0.25">
      <c r="A14" s="11" t="s">
        <v>22</v>
      </c>
      <c r="B14" s="12"/>
      <c r="C14" s="12"/>
      <c r="D14" s="13"/>
      <c r="E14" s="14"/>
      <c r="F14" s="15">
        <f ca="1">SUM(INDIRECT("f4:f"&amp;ROW()-1))</f>
        <v>6943</v>
      </c>
      <c r="G14" s="15"/>
      <c r="H14" s="15">
        <f ca="1">SUM(INDIRECT("h4:h"&amp;ROW()-1))</f>
        <v>3696869.7800000003</v>
      </c>
      <c r="I14" s="15">
        <f ca="1">SUM(INDIRECT("i4:i"&amp;ROW()-1))</f>
        <v>6943</v>
      </c>
      <c r="J14" s="15">
        <f ca="1">Table242830891013141516171819202126[[#This Row],[Sales Amt]]/Table242830891013141516171819202126[[#This Row],[Sales Qty]]</f>
        <v>632.72605501944406</v>
      </c>
      <c r="K14" s="15">
        <f ca="1">SUM(INDIRECT("k4:k"&amp;ROW()-1))</f>
        <v>4393017</v>
      </c>
      <c r="L14" s="15">
        <f>SUBTOTAL(109,L7:L13)</f>
        <v>3696869.7800000003</v>
      </c>
      <c r="M14" s="15">
        <f ca="1">Table242830891013141516171819202126[[#This Row],[Total Purchase Amount]]-Table242830891013141516171819202126[[#This Row],[Principal Cost As per  NFRS (In case of Sales)]]</f>
        <v>0</v>
      </c>
      <c r="N14" s="15">
        <f ca="1">Table242830891013141516171819202126[[#This Row],[Purchase QTY]]-Table242830891013141516171819202126[[#This Row],[Sales Qty]]</f>
        <v>0</v>
      </c>
      <c r="O14" s="43">
        <f ca="1">IFERROR(Table242830891013141516171819202126[[#This Row],[TC AP NFRS]]/Table242830891013141516171819202126[[#This Row],[Unit Sum]],0)</f>
        <v>0</v>
      </c>
      <c r="P14" s="15">
        <f ca="1">SUM(INDIRECT("p4:p"&amp;ROW()-1))</f>
        <v>696147.21999999974</v>
      </c>
      <c r="R14" s="24">
        <f>SUM(R7:R13)</f>
        <v>0</v>
      </c>
      <c r="S14" s="24">
        <f t="shared" ref="S14:AA14" si="9">SUM(S7:S13)</f>
        <v>0</v>
      </c>
      <c r="T14" s="24">
        <f t="shared" si="9"/>
        <v>0</v>
      </c>
      <c r="U14" s="24">
        <f t="shared" ref="U14:Z14" si="10">SUM(U7:U13)</f>
        <v>4395196.72</v>
      </c>
      <c r="V14" s="24">
        <f t="shared" si="10"/>
        <v>15074.81</v>
      </c>
      <c r="W14" s="24">
        <f t="shared" si="10"/>
        <v>150</v>
      </c>
      <c r="X14" s="24">
        <f t="shared" si="10"/>
        <v>15224.81</v>
      </c>
      <c r="Y14" s="24">
        <f t="shared" si="10"/>
        <v>3460.77</v>
      </c>
      <c r="Z14" s="24">
        <f t="shared" si="10"/>
        <v>4374331.42</v>
      </c>
      <c r="AA14" s="24">
        <f t="shared" si="9"/>
        <v>4395196.72</v>
      </c>
      <c r="AB14" s="24">
        <f>U14-AA14</f>
        <v>0</v>
      </c>
      <c r="AC14" s="24">
        <f t="shared" ca="1" si="6"/>
        <v>0</v>
      </c>
      <c r="AD14" s="24">
        <f>SUM(AD7:AD13)</f>
        <v>-17404.52999999981</v>
      </c>
    </row>
    <row r="17" spans="1:30" x14ac:dyDescent="0.25">
      <c r="A17" t="s">
        <v>882</v>
      </c>
      <c r="R17" s="120" t="s">
        <v>20</v>
      </c>
      <c r="S17" s="121"/>
      <c r="T17" s="121"/>
      <c r="U17" s="50"/>
      <c r="V17" s="120" t="s">
        <v>67</v>
      </c>
      <c r="W17" s="121"/>
      <c r="X17" s="121"/>
      <c r="Y17" s="123" t="s">
        <v>13</v>
      </c>
      <c r="Z17" s="124" t="s">
        <v>10</v>
      </c>
      <c r="AA17" s="125" t="s">
        <v>66</v>
      </c>
      <c r="AB17" s="123" t="s">
        <v>15</v>
      </c>
      <c r="AC17" s="123" t="s">
        <v>18</v>
      </c>
      <c r="AD17" s="123" t="s">
        <v>12</v>
      </c>
    </row>
    <row r="18" spans="1:30" ht="90" x14ac:dyDescent="0.25">
      <c r="A18" s="1" t="s">
        <v>57</v>
      </c>
      <c r="B18" s="2" t="s">
        <v>0</v>
      </c>
      <c r="C18" s="2" t="s">
        <v>53</v>
      </c>
      <c r="D18" s="2" t="s">
        <v>1</v>
      </c>
      <c r="E18" s="2" t="s">
        <v>2</v>
      </c>
      <c r="F18" s="2" t="s">
        <v>3</v>
      </c>
      <c r="G18" s="2" t="s">
        <v>4</v>
      </c>
      <c r="H18" s="2" t="s">
        <v>51</v>
      </c>
      <c r="I18" s="2" t="s">
        <v>6</v>
      </c>
      <c r="J18" s="16" t="s">
        <v>7</v>
      </c>
      <c r="K18" s="16" t="s">
        <v>8</v>
      </c>
      <c r="L18" s="2" t="s">
        <v>50</v>
      </c>
      <c r="M18" s="2" t="s">
        <v>14</v>
      </c>
      <c r="N18" s="2" t="s">
        <v>16</v>
      </c>
      <c r="O18" s="4" t="s">
        <v>17</v>
      </c>
      <c r="P18" s="3" t="s">
        <v>11</v>
      </c>
      <c r="R18" s="2" t="s">
        <v>65</v>
      </c>
      <c r="S18" s="2" t="s">
        <v>62</v>
      </c>
      <c r="T18" s="2" t="s">
        <v>5</v>
      </c>
      <c r="U18" s="2" t="s">
        <v>164</v>
      </c>
      <c r="V18" s="16" t="s">
        <v>64</v>
      </c>
      <c r="W18" s="16" t="s">
        <v>62</v>
      </c>
      <c r="X18" s="45" t="s">
        <v>9</v>
      </c>
      <c r="Y18" s="123"/>
      <c r="Z18" s="124"/>
      <c r="AA18" s="125"/>
      <c r="AB18" s="123"/>
      <c r="AC18" s="123"/>
      <c r="AD18" s="123"/>
    </row>
    <row r="19" spans="1:30" ht="30" x14ac:dyDescent="0.25">
      <c r="A19" s="96">
        <v>1</v>
      </c>
      <c r="B19" s="97" t="s">
        <v>118</v>
      </c>
      <c r="C19" s="97"/>
      <c r="D19" s="98">
        <v>45886</v>
      </c>
      <c r="E19" s="99" t="s">
        <v>19</v>
      </c>
      <c r="F19" s="59">
        <v>6943</v>
      </c>
      <c r="G19" s="59"/>
      <c r="H19" s="59">
        <v>3696869.7800000003</v>
      </c>
      <c r="I19" s="59">
        <v>6943</v>
      </c>
      <c r="J19" s="59">
        <v>632.72605501944406</v>
      </c>
      <c r="K19" s="59">
        <v>4393017</v>
      </c>
      <c r="L19" s="59">
        <v>3696869.7800000003</v>
      </c>
      <c r="M19" s="59"/>
      <c r="N19" s="59"/>
      <c r="O19" s="59"/>
      <c r="P19" s="59">
        <v>696147.21999999974</v>
      </c>
      <c r="Q19" s="59"/>
      <c r="R19" s="59"/>
      <c r="S19" s="59"/>
      <c r="T19" s="59"/>
      <c r="U19" s="59">
        <v>4395196.72</v>
      </c>
      <c r="V19" s="59">
        <v>15074.81</v>
      </c>
      <c r="W19" s="59">
        <v>150</v>
      </c>
      <c r="X19" s="59">
        <v>15224.81</v>
      </c>
      <c r="Y19" s="59">
        <v>3460.77</v>
      </c>
      <c r="Z19" s="59">
        <v>4374331.42</v>
      </c>
      <c r="AA19" s="59">
        <v>4395196.72</v>
      </c>
      <c r="AB19" s="59"/>
      <c r="AC19" s="59"/>
      <c r="AD19" s="59">
        <v>-17404.52999999981</v>
      </c>
    </row>
  </sheetData>
  <mergeCells count="16">
    <mergeCell ref="AB17:AB18"/>
    <mergeCell ref="AC17:AC18"/>
    <mergeCell ref="AD17:AD18"/>
    <mergeCell ref="R17:T17"/>
    <mergeCell ref="V17:X17"/>
    <mergeCell ref="Y17:Y18"/>
    <mergeCell ref="Z17:Z18"/>
    <mergeCell ref="AA17:AA18"/>
    <mergeCell ref="R5:T5"/>
    <mergeCell ref="AC5:AC6"/>
    <mergeCell ref="AD5:AD6"/>
    <mergeCell ref="V5:X5"/>
    <mergeCell ref="Y5:Y6"/>
    <mergeCell ref="Z5:Z6"/>
    <mergeCell ref="AA5:AA6"/>
    <mergeCell ref="AB5:AB6"/>
  </mergeCells>
  <pageMargins left="0.19685039370078741" right="0.19685039370078741" top="0.74803149606299213" bottom="0.74803149606299213" header="0.31496062992125984" footer="0.31496062992125984"/>
  <pageSetup paperSize="9" scale="54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25FFA3-574D-43AE-BAB4-B2C7D40EDC11}">
          <x14:formula1>
            <xm:f>VALIDATION!$A$2:$A$7</xm:f>
          </x14:formula1>
          <xm:sqref>E7:E13 E19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474B-CACA-413B-98DF-44D2F71E1712}">
  <dimension ref="A1:AE18"/>
  <sheetViews>
    <sheetView view="pageBreakPreview" zoomScaleNormal="100" zoomScaleSheetLayoutView="100" workbookViewId="0">
      <selection activeCell="AD18" sqref="A16:AD18"/>
    </sheetView>
  </sheetViews>
  <sheetFormatPr defaultRowHeight="15" x14ac:dyDescent="0.25"/>
  <cols>
    <col min="1" max="1" width="3.5703125" customWidth="1"/>
    <col min="2" max="2" width="8.140625" bestFit="1" customWidth="1"/>
    <col min="3" max="3" width="16.85546875" bestFit="1" customWidth="1"/>
    <col min="4" max="4" width="10.28515625" bestFit="1" customWidth="1"/>
    <col min="5" max="5" width="8.7109375" customWidth="1"/>
    <col min="6" max="6" width="12.140625" bestFit="1" customWidth="1"/>
    <col min="7" max="7" width="9.28515625" bestFit="1" customWidth="1"/>
    <col min="8" max="8" width="15.5703125" bestFit="1" customWidth="1"/>
    <col min="9" max="9" width="10.85546875" bestFit="1" customWidth="1"/>
    <col min="10" max="10" width="9.5703125" customWidth="1"/>
    <col min="11" max="12" width="15.42578125" bestFit="1" customWidth="1"/>
    <col min="13" max="13" width="13.140625" bestFit="1" customWidth="1"/>
    <col min="14" max="15" width="9.42578125" bestFit="1" customWidth="1"/>
    <col min="16" max="16" width="13.42578125" bestFit="1" customWidth="1"/>
    <col min="17" max="17" width="2.5703125" customWidth="1"/>
    <col min="18" max="18" width="11.42578125" bestFit="1" customWidth="1"/>
    <col min="20" max="20" width="9.7109375" customWidth="1"/>
    <col min="21" max="21" width="15.5703125" bestFit="1" customWidth="1"/>
    <col min="22" max="22" width="11.42578125" bestFit="1" customWidth="1"/>
    <col min="23" max="23" width="9.140625" customWidth="1"/>
    <col min="24" max="24" width="11.42578125" bestFit="1" customWidth="1"/>
    <col min="25" max="25" width="7.5703125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ht="30" x14ac:dyDescent="0.25">
      <c r="A7" s="5">
        <v>1</v>
      </c>
      <c r="B7" s="6" t="s">
        <v>171</v>
      </c>
      <c r="C7" s="6"/>
      <c r="D7" s="7">
        <v>45855</v>
      </c>
      <c r="E7" s="8" t="s">
        <v>19</v>
      </c>
      <c r="F7" s="9">
        <v>1520</v>
      </c>
      <c r="G7" s="9">
        <v>700.35</v>
      </c>
      <c r="H7" s="9">
        <f>Table24283089101314151617181238[[#This Row],[Purchase QTY]]*Table24283089101314151617181238[[#This Row],[PPPU]]</f>
        <v>1064532</v>
      </c>
      <c r="I7" s="9"/>
      <c r="J7" s="9"/>
      <c r="K7" s="9"/>
      <c r="L7" s="9"/>
      <c r="M7" s="9">
        <f>Table24283089101314151617181238[[#This Row],[Total Purchase Amount]]</f>
        <v>1064532</v>
      </c>
      <c r="N7" s="9">
        <f>IF(Table24283089101314151617181238[[#This Row],[Txn Type]]="opening",Table24283089101314151617181238[[#This Row],[Purchase QTY]],"Error")</f>
        <v>1520</v>
      </c>
      <c r="O7" s="42">
        <f>IFERROR(Table24283089101314151617181238[[#This Row],[TC AP NFRS]]/Table24283089101314151617181238[[#This Row],[Unit Sum]],0)</f>
        <v>700.35</v>
      </c>
      <c r="P7" s="10">
        <f>Table24283089101314151617181238[[#This Row],[Sales Amt]]-Table24283089101314151617181238[[#This Row],[Principal Cost As per  NFRS (In case of Sales)]]</f>
        <v>0</v>
      </c>
      <c r="R7" s="17"/>
      <c r="S7" s="17"/>
      <c r="T7" s="20">
        <f>R7+S7</f>
        <v>0</v>
      </c>
      <c r="U7" s="20">
        <f>AB7</f>
        <v>1223888.8</v>
      </c>
      <c r="V7" s="20"/>
      <c r="W7" s="20"/>
      <c r="X7" s="20"/>
      <c r="Y7" s="46"/>
      <c r="Z7" s="46"/>
      <c r="AA7" s="46"/>
      <c r="AB7" s="46">
        <f>F7*AC7</f>
        <v>1223888.8</v>
      </c>
      <c r="AC7" s="46">
        <v>805.19</v>
      </c>
      <c r="AD7" s="56"/>
    </row>
    <row r="8" spans="1:31" ht="30" x14ac:dyDescent="0.25">
      <c r="A8" s="5">
        <f>A7+1</f>
        <v>2</v>
      </c>
      <c r="B8" s="6" t="s">
        <v>171</v>
      </c>
      <c r="C8" s="6" t="s">
        <v>172</v>
      </c>
      <c r="D8" s="7">
        <v>45860</v>
      </c>
      <c r="E8" s="8" t="s">
        <v>112</v>
      </c>
      <c r="F8" s="9">
        <v>0</v>
      </c>
      <c r="G8" s="9">
        <f>IF(Table24283089101314151617181238[[#This Row],[SPPU]]&gt;=0,0,Table24283089101314151617181238[[#This Row],[Total Purchase Amount]]/Table24283089101314151617181238[[#This Row],[Purchase QTY]])</f>
        <v>0</v>
      </c>
      <c r="H8" s="9">
        <v>0</v>
      </c>
      <c r="I8" s="9">
        <v>1520</v>
      </c>
      <c r="J8" s="9">
        <f>Table24283089101314151617181238[[#This Row],[Sales Amt]]/Table24283089101314151617181238[[#This Row],[Sales Qty]]</f>
        <v>779.02105263157898</v>
      </c>
      <c r="K8" s="9">
        <v>1184112</v>
      </c>
      <c r="L8" s="9">
        <f>Table24283089101314151617181238[[#This Row],[Sales Qty]]*O7</f>
        <v>1064532</v>
      </c>
      <c r="M8" s="9">
        <f>M7+Table24283089101314151617181238[[#This Row],[Total Purchase Amount]]-Table24283089101314151617181238[[#This Row],[Principal Cost As per  NFRS (In case of Sales)]]</f>
        <v>0</v>
      </c>
      <c r="N8" s="9">
        <f>N7+Table24283089101314151617181238[[#This Row],[Purchase QTY]]-Table24283089101314151617181238[[#This Row],[Sales Qty]]</f>
        <v>0</v>
      </c>
      <c r="O8" s="42">
        <f>IFERROR(Table24283089101314151617181238[[#This Row],[TC AP NFRS]]/Table24283089101314151617181238[[#This Row],[Unit Sum]],0)</f>
        <v>0</v>
      </c>
      <c r="P8" s="10">
        <f>Table24283089101314151617181238[[#This Row],[Sales Amt]]-Table24283089101314151617181238[[#This Row],[Principal Cost As per  NFRS (In case of Sales)]]</f>
        <v>119580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f>177.6+3812.35</f>
        <v>3989.95</v>
      </c>
      <c r="W8" s="20">
        <v>25</v>
      </c>
      <c r="X8" s="55">
        <f>V8+W8</f>
        <v>4014.95</v>
      </c>
      <c r="Y8" s="20">
        <v>0</v>
      </c>
      <c r="Z8" s="20">
        <f>K8-X8-Y8</f>
        <v>1180097.05</v>
      </c>
      <c r="AA8" s="20">
        <f>I8*AC7</f>
        <v>1223888.8</v>
      </c>
      <c r="AB8" s="20">
        <f>AB7+U8-AA8</f>
        <v>0</v>
      </c>
      <c r="AC8" s="20">
        <f>IFERROR(AB8/N8,0)</f>
        <v>0</v>
      </c>
      <c r="AD8" s="58">
        <f>Z8-AA8+Y8</f>
        <v>-43791.75</v>
      </c>
    </row>
    <row r="9" spans="1:31" hidden="1" x14ac:dyDescent="0.25">
      <c r="A9" s="5">
        <f t="shared" ref="A9:A12" si="0">A8+1</f>
        <v>3</v>
      </c>
      <c r="B9" s="6"/>
      <c r="C9" s="6"/>
      <c r="D9" s="7"/>
      <c r="E9" s="8"/>
      <c r="F9" s="9">
        <v>0</v>
      </c>
      <c r="G9" s="9" t="e">
        <f>Table24283089101314151617181238[[#This Row],[Total Purchase Amount]]/Table24283089101314151617181238[[#This Row],[Purchase QTY]]</f>
        <v>#DIV/0!</v>
      </c>
      <c r="H9" s="9">
        <v>0</v>
      </c>
      <c r="I9" s="9">
        <v>0</v>
      </c>
      <c r="J9" s="9">
        <f ca="1">IFERROR(Table24283089101314151617181238[[#This Row],[Sales Amt]]/Table24283089101314151617181238[[#This Row],[Sales Qty]],0)</f>
        <v>0</v>
      </c>
      <c r="K9" s="9">
        <f ca="1">Table24283089101314151617181238[[#This Row],[Sales Qty]]*Table24283089101314151617181238[[#This Row],[SPPU]]</f>
        <v>0</v>
      </c>
      <c r="L9" s="9">
        <f>Table24283089101314151617181238[[#This Row],[Sales Qty]]*O8</f>
        <v>0</v>
      </c>
      <c r="M9" s="9">
        <f>M8+Table24283089101314151617181238[[#This Row],[Total Purchase Amount]]-Table24283089101314151617181238[[#This Row],[Principal Cost As per  NFRS (In case of Sales)]]</f>
        <v>0</v>
      </c>
      <c r="N9" s="9">
        <f>N8+Table24283089101314151617181238[[#This Row],[Purchase QTY]]-Table24283089101314151617181238[[#This Row],[Sales Qty]]</f>
        <v>0</v>
      </c>
      <c r="O9" s="42">
        <f>IFERROR(Table24283089101314151617181238[[#This Row],[TC AP NFRS]]/Table24283089101314151617181238[[#This Row],[Unit Sum]],0)</f>
        <v>0</v>
      </c>
      <c r="P9" s="10">
        <f ca="1">Table24283089101314151617181238[[#This Row],[Sales Amt]]-Table24283089101314151617181238[[#This Row],[Principal Cost As per  NFRS (In case of Sales)]]</f>
        <v>0</v>
      </c>
      <c r="R9" s="17">
        <v>0</v>
      </c>
      <c r="S9" s="17"/>
      <c r="T9" s="20">
        <f t="shared" ref="T9:T12" si="1">R9+S9</f>
        <v>0</v>
      </c>
      <c r="U9" s="20">
        <f t="shared" ref="U9:U12" si="2">H9+T9</f>
        <v>0</v>
      </c>
      <c r="V9" s="20">
        <v>0</v>
      </c>
      <c r="W9" s="20">
        <v>0</v>
      </c>
      <c r="X9" s="55">
        <f t="shared" ref="X9:X12" si="3">V9+W9</f>
        <v>0</v>
      </c>
      <c r="Y9" s="20">
        <v>0</v>
      </c>
      <c r="Z9" s="20">
        <f t="shared" ref="Z9:Z12" ca="1" si="4">K9-X9-Y9</f>
        <v>0</v>
      </c>
      <c r="AA9" s="20">
        <f t="shared" ref="AA9:AA12" si="5">I9*AC8</f>
        <v>0</v>
      </c>
      <c r="AB9" s="20">
        <f t="shared" ref="AB9:AB12" si="6">AB8+U9-AA9</f>
        <v>0</v>
      </c>
      <c r="AC9" s="20">
        <f t="shared" ref="AC9:AC13" si="7">IFERROR(AB9/N9,0)</f>
        <v>0</v>
      </c>
      <c r="AD9" s="58">
        <f t="shared" ref="AD9:AD12" ca="1" si="8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IF(Table24283089101314151617181238[[#This Row],[SPPU]]&gt;=0,0,Table24283089101314151617181238[[#This Row],[Total Purchase Amount]]/Table24283089101314151617181238[[#This Row],[Purchase QTY]])</f>
        <v>0</v>
      </c>
      <c r="H10" s="9"/>
      <c r="I10" s="9">
        <v>0</v>
      </c>
      <c r="J10" s="9">
        <f>IFERROR(Table24283089101314151617181238[[#This Row],[Sales Amt]]/Table24283089101314151617181238[[#This Row],[Sales Qty]],0)</f>
        <v>0</v>
      </c>
      <c r="K10" s="9">
        <v>0</v>
      </c>
      <c r="L10" s="9">
        <f>Table24283089101314151617181238[[#This Row],[Sales Qty]]*O9</f>
        <v>0</v>
      </c>
      <c r="M10" s="9">
        <f>M9+Table24283089101314151617181238[[#This Row],[Total Purchase Amount]]-Table24283089101314151617181238[[#This Row],[Principal Cost As per  NFRS (In case of Sales)]]</f>
        <v>0</v>
      </c>
      <c r="N10" s="9">
        <f>N9+Table24283089101314151617181238[[#This Row],[Purchase QTY]]-Table24283089101314151617181238[[#This Row],[Sales Qty]]</f>
        <v>0</v>
      </c>
      <c r="O10" s="42">
        <f>IFERROR(Table24283089101314151617181238[[#This Row],[TC AP NFRS]]/Table24283089101314151617181238[[#This Row],[Unit Sum]],0)</f>
        <v>0</v>
      </c>
      <c r="P10" s="10">
        <f>Table24283089101314151617181238[[#This Row],[Sales Amt]]-Table24283089101314151617181238[[#This Row],[Principal Cost As per  NFRS (In case of Sales)]]</f>
        <v>0</v>
      </c>
      <c r="R10" s="17">
        <v>0</v>
      </c>
      <c r="S10" s="17"/>
      <c r="T10" s="20">
        <f t="shared" si="1"/>
        <v>0</v>
      </c>
      <c r="U10" s="20">
        <f t="shared" si="2"/>
        <v>0</v>
      </c>
      <c r="V10" s="20">
        <v>0</v>
      </c>
      <c r="W10" s="20">
        <v>0</v>
      </c>
      <c r="X10" s="55">
        <f t="shared" si="3"/>
        <v>0</v>
      </c>
      <c r="Y10" s="20">
        <v>0</v>
      </c>
      <c r="Z10" s="20">
        <f t="shared" si="4"/>
        <v>0</v>
      </c>
      <c r="AA10" s="20">
        <f t="shared" si="5"/>
        <v>0</v>
      </c>
      <c r="AB10" s="20">
        <f t="shared" si="6"/>
        <v>0</v>
      </c>
      <c r="AC10" s="20">
        <f t="shared" si="7"/>
        <v>0</v>
      </c>
      <c r="AD10" s="58">
        <f t="shared" si="8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>
        <f>IF(Table24283089101314151617181238[[#This Row],[SPPU]]&gt;=0,0,Table24283089101314151617181238[[#This Row],[Total Purchase Amount]]/Table24283089101314151617181238[[#This Row],[Purchase QTY]])</f>
        <v>0</v>
      </c>
      <c r="H11" s="9"/>
      <c r="I11" s="9">
        <v>0</v>
      </c>
      <c r="J11" s="9">
        <v>0</v>
      </c>
      <c r="K11" s="9">
        <v>0</v>
      </c>
      <c r="L11" s="9">
        <f>Table24283089101314151617181238[[#This Row],[Sales Qty]]*O10</f>
        <v>0</v>
      </c>
      <c r="M11" s="9">
        <f>M10+Table24283089101314151617181238[[#This Row],[Total Purchase Amount]]-Table24283089101314151617181238[[#This Row],[Principal Cost As per  NFRS (In case of Sales)]]</f>
        <v>0</v>
      </c>
      <c r="N11" s="9">
        <f>N10+Table24283089101314151617181238[[#This Row],[Purchase QTY]]-Table24283089101314151617181238[[#This Row],[Sales Qty]]</f>
        <v>0</v>
      </c>
      <c r="O11" s="42">
        <f>IFERROR(Table24283089101314151617181238[[#This Row],[TC AP NFRS]]/Table24283089101314151617181238[[#This Row],[Unit Sum]],0)</f>
        <v>0</v>
      </c>
      <c r="P11" s="10">
        <f>Table24283089101314151617181238[[#This Row],[Sales Amt]]-Table24283089101314151617181238[[#This Row],[Principal Cost As per  NFRS (In case of Sales)]]</f>
        <v>0</v>
      </c>
      <c r="R11" s="17">
        <v>0</v>
      </c>
      <c r="S11" s="17"/>
      <c r="T11" s="20">
        <f t="shared" si="1"/>
        <v>0</v>
      </c>
      <c r="U11" s="20">
        <f t="shared" si="2"/>
        <v>0</v>
      </c>
      <c r="V11" s="20">
        <v>0</v>
      </c>
      <c r="W11" s="20">
        <v>0</v>
      </c>
      <c r="X11" s="55">
        <f t="shared" si="3"/>
        <v>0</v>
      </c>
      <c r="Y11" s="20">
        <v>0</v>
      </c>
      <c r="Z11" s="20">
        <f t="shared" si="4"/>
        <v>0</v>
      </c>
      <c r="AA11" s="20">
        <f t="shared" si="5"/>
        <v>0</v>
      </c>
      <c r="AB11" s="20">
        <f t="shared" si="6"/>
        <v>0</v>
      </c>
      <c r="AC11" s="20">
        <f t="shared" si="7"/>
        <v>0</v>
      </c>
      <c r="AD11" s="58">
        <f t="shared" si="8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/>
      <c r="G12" s="9" t="e">
        <f>IF(Table24283089101314151617181238[[#This Row],[SPPU]]&gt;=0,0,Table24283089101314151617181238[[#This Row],[Total Purchase Amount]]/Table24283089101314151617181238[[#This Row],[Purchase QTY]])</f>
        <v>#DIV/0!</v>
      </c>
      <c r="H12" s="9"/>
      <c r="I12" s="9">
        <v>0</v>
      </c>
      <c r="J12" s="9" t="e">
        <f>Table24283089101314151617181238[[#This Row],[Sales Amt]]/Table24283089101314151617181238[[#This Row],[Sales Qty]]</f>
        <v>#DIV/0!</v>
      </c>
      <c r="K12" s="9">
        <v>0</v>
      </c>
      <c r="L12" s="9">
        <f>Table24283089101314151617181238[[#This Row],[Sales Qty]]*O11</f>
        <v>0</v>
      </c>
      <c r="M12" s="9">
        <f>M11+Table24283089101314151617181238[[#This Row],[Total Purchase Amount]]-Table24283089101314151617181238[[#This Row],[Principal Cost As per  NFRS (In case of Sales)]]</f>
        <v>0</v>
      </c>
      <c r="N12" s="9">
        <f>N11+Table24283089101314151617181238[[#This Row],[Purchase QTY]]-Table24283089101314151617181238[[#This Row],[Sales Qty]]</f>
        <v>0</v>
      </c>
      <c r="O12" s="42">
        <f>IFERROR(Table24283089101314151617181238[[#This Row],[TC AP NFRS]]/Table24283089101314151617181238[[#This Row],[Unit Sum]],0)</f>
        <v>0</v>
      </c>
      <c r="P12" s="10">
        <f>Table24283089101314151617181238[[#This Row],[Sales Amt]]-Table24283089101314151617181238[[#This Row],[Principal Cost As per  NFRS (In case of Sales)]]</f>
        <v>0</v>
      </c>
      <c r="R12" s="17">
        <v>0</v>
      </c>
      <c r="S12" s="17"/>
      <c r="T12" s="20">
        <f t="shared" si="1"/>
        <v>0</v>
      </c>
      <c r="U12" s="20">
        <f t="shared" si="2"/>
        <v>0</v>
      </c>
      <c r="V12" s="20">
        <v>0</v>
      </c>
      <c r="W12" s="20">
        <v>0</v>
      </c>
      <c r="X12" s="55">
        <f t="shared" si="3"/>
        <v>0</v>
      </c>
      <c r="Y12" s="20">
        <v>0</v>
      </c>
      <c r="Z12" s="20">
        <f t="shared" si="4"/>
        <v>0</v>
      </c>
      <c r="AA12" s="20">
        <f t="shared" si="5"/>
        <v>0</v>
      </c>
      <c r="AB12" s="20">
        <f t="shared" si="6"/>
        <v>0</v>
      </c>
      <c r="AC12" s="20">
        <f t="shared" si="7"/>
        <v>0</v>
      </c>
      <c r="AD12" s="58">
        <f t="shared" si="8"/>
        <v>0</v>
      </c>
    </row>
    <row r="13" spans="1:31" ht="15.75" x14ac:dyDescent="0.25">
      <c r="A13" s="11" t="s">
        <v>22</v>
      </c>
      <c r="B13" s="12"/>
      <c r="C13" s="12"/>
      <c r="D13" s="13"/>
      <c r="E13" s="14"/>
      <c r="F13" s="15">
        <f ca="1">SUM(INDIRECT("f4:f"&amp;ROW()-1))</f>
        <v>1520</v>
      </c>
      <c r="G13" s="15"/>
      <c r="H13" s="15">
        <f ca="1">SUM(INDIRECT("h4:h"&amp;ROW()-1))</f>
        <v>1064532</v>
      </c>
      <c r="I13" s="15">
        <f ca="1">SUM(INDIRECT("i4:i"&amp;ROW()-1))</f>
        <v>1520</v>
      </c>
      <c r="J13" s="15">
        <f ca="1">Table24283089101314151617181238[[#This Row],[Sales Amt]]/Table24283089101314151617181238[[#This Row],[Sales Qty]]</f>
        <v>779.02105263157898</v>
      </c>
      <c r="K13" s="15">
        <f ca="1">SUM(INDIRECT("k4:k"&amp;ROW()-1))</f>
        <v>1184112</v>
      </c>
      <c r="L13" s="15">
        <f ca="1">SUM(INDIRECT("l4:l"&amp;ROW()-1))</f>
        <v>1064532</v>
      </c>
      <c r="M13" s="15">
        <f ca="1">Table24283089101314151617181238[[#This Row],[Total Purchase Amount]]-Table24283089101314151617181238[[#This Row],[Principal Cost As per  NFRS (In case of Sales)]]</f>
        <v>0</v>
      </c>
      <c r="N13" s="15">
        <f ca="1">Table24283089101314151617181238[[#This Row],[Purchase QTY]]-Table24283089101314151617181238[[#This Row],[Sales Qty]]</f>
        <v>0</v>
      </c>
      <c r="O13" s="43">
        <f ca="1">IFERROR(Table24283089101314151617181238[[#This Row],[TC AP NFRS]]/Table24283089101314151617181238[[#This Row],[Unit Sum]],0)</f>
        <v>0</v>
      </c>
      <c r="P13" s="15">
        <f ca="1">SUM(INDIRECT("p4:p"&amp;ROW()-1))</f>
        <v>119580</v>
      </c>
      <c r="R13" s="24">
        <f>SUM(R7:R12)</f>
        <v>0</v>
      </c>
      <c r="S13" s="24">
        <f t="shared" ref="S13:AA13" si="9">SUM(S7:S12)</f>
        <v>0</v>
      </c>
      <c r="T13" s="24">
        <f>SUM(T7:T12)</f>
        <v>0</v>
      </c>
      <c r="U13" s="24">
        <f>SUM(U7:U12)</f>
        <v>1223888.8</v>
      </c>
      <c r="V13" s="24">
        <f>SUM(V7:V12)</f>
        <v>3989.95</v>
      </c>
      <c r="W13" s="24">
        <f t="shared" si="9"/>
        <v>25</v>
      </c>
      <c r="X13" s="24">
        <f t="shared" si="9"/>
        <v>4014.95</v>
      </c>
      <c r="Y13" s="24">
        <f t="shared" si="9"/>
        <v>0</v>
      </c>
      <c r="Z13" s="24">
        <f ca="1">SUM(Z7:Z12)</f>
        <v>1180097.05</v>
      </c>
      <c r="AA13" s="24">
        <f t="shared" si="9"/>
        <v>1223888.8</v>
      </c>
      <c r="AB13" s="24">
        <f>U13-AA13</f>
        <v>0</v>
      </c>
      <c r="AC13" s="24">
        <f t="shared" ca="1" si="7"/>
        <v>0</v>
      </c>
      <c r="AD13" s="24">
        <f ca="1">SUM(AD7:AD12)</f>
        <v>-43791.75</v>
      </c>
    </row>
    <row r="16" spans="1:31" x14ac:dyDescent="0.25">
      <c r="A16" t="s">
        <v>882</v>
      </c>
      <c r="R16" s="120" t="s">
        <v>20</v>
      </c>
      <c r="S16" s="121"/>
      <c r="T16" s="121"/>
      <c r="U16" s="50"/>
      <c r="V16" s="120" t="s">
        <v>67</v>
      </c>
      <c r="W16" s="121"/>
      <c r="X16" s="121"/>
      <c r="Y16" s="123" t="s">
        <v>13</v>
      </c>
      <c r="Z16" s="124" t="s">
        <v>10</v>
      </c>
      <c r="AA16" s="125" t="s">
        <v>66</v>
      </c>
      <c r="AB16" s="123" t="s">
        <v>15</v>
      </c>
      <c r="AC16" s="123" t="s">
        <v>18</v>
      </c>
      <c r="AD16" s="123" t="s">
        <v>12</v>
      </c>
    </row>
    <row r="17" spans="1:30" ht="75" x14ac:dyDescent="0.25">
      <c r="A17" s="1" t="s">
        <v>57</v>
      </c>
      <c r="B17" s="2" t="s">
        <v>0</v>
      </c>
      <c r="C17" s="2" t="s">
        <v>53</v>
      </c>
      <c r="D17" s="2" t="s">
        <v>1</v>
      </c>
      <c r="E17" s="2" t="s">
        <v>2</v>
      </c>
      <c r="F17" s="2" t="s">
        <v>3</v>
      </c>
      <c r="G17" s="2" t="s">
        <v>4</v>
      </c>
      <c r="H17" s="2" t="s">
        <v>51</v>
      </c>
      <c r="I17" s="2" t="s">
        <v>6</v>
      </c>
      <c r="J17" s="16" t="s">
        <v>7</v>
      </c>
      <c r="K17" s="16" t="s">
        <v>8</v>
      </c>
      <c r="L17" s="2" t="s">
        <v>50</v>
      </c>
      <c r="M17" s="2" t="s">
        <v>14</v>
      </c>
      <c r="N17" s="2" t="s">
        <v>16</v>
      </c>
      <c r="O17" s="4" t="s">
        <v>17</v>
      </c>
      <c r="P17" s="3" t="s">
        <v>11</v>
      </c>
      <c r="R17" s="2" t="s">
        <v>65</v>
      </c>
      <c r="S17" s="2" t="s">
        <v>62</v>
      </c>
      <c r="T17" s="2" t="s">
        <v>5</v>
      </c>
      <c r="U17" s="2" t="s">
        <v>164</v>
      </c>
      <c r="V17" s="16" t="s">
        <v>64</v>
      </c>
      <c r="W17" s="16" t="s">
        <v>62</v>
      </c>
      <c r="X17" s="45" t="s">
        <v>9</v>
      </c>
      <c r="Y17" s="123"/>
      <c r="Z17" s="124"/>
      <c r="AA17" s="125"/>
      <c r="AB17" s="123"/>
      <c r="AC17" s="123"/>
      <c r="AD17" s="123"/>
    </row>
    <row r="18" spans="1:30" ht="30" x14ac:dyDescent="0.25">
      <c r="A18" s="96">
        <v>1</v>
      </c>
      <c r="B18" s="97" t="s">
        <v>171</v>
      </c>
      <c r="C18" s="97"/>
      <c r="D18" s="98">
        <v>45886</v>
      </c>
      <c r="E18" s="99" t="s">
        <v>19</v>
      </c>
      <c r="F18" s="59">
        <v>1520</v>
      </c>
      <c r="G18" s="59"/>
      <c r="H18" s="59">
        <v>1064532</v>
      </c>
      <c r="I18" s="59">
        <v>1520</v>
      </c>
      <c r="J18" s="59">
        <v>779.02105263157898</v>
      </c>
      <c r="K18" s="59">
        <v>1184112</v>
      </c>
      <c r="L18" s="59">
        <v>1064532</v>
      </c>
      <c r="M18" s="59"/>
      <c r="N18" s="59"/>
      <c r="O18" s="59"/>
      <c r="P18" s="59">
        <v>119580</v>
      </c>
      <c r="Q18" s="59"/>
      <c r="R18" s="59"/>
      <c r="S18" s="59"/>
      <c r="T18" s="59"/>
      <c r="U18" s="59">
        <v>1223888.8</v>
      </c>
      <c r="V18" s="59">
        <v>3989.95</v>
      </c>
      <c r="W18" s="59">
        <v>25</v>
      </c>
      <c r="X18" s="59">
        <v>4014.95</v>
      </c>
      <c r="Y18" s="59"/>
      <c r="Z18" s="59">
        <v>1180097.05</v>
      </c>
      <c r="AA18" s="59">
        <v>1223888.8</v>
      </c>
      <c r="AB18" s="59"/>
      <c r="AC18" s="59"/>
      <c r="AD18" s="59">
        <v>-43791.75</v>
      </c>
    </row>
  </sheetData>
  <mergeCells count="16">
    <mergeCell ref="AB16:AB17"/>
    <mergeCell ref="AC16:AC17"/>
    <mergeCell ref="AD16:AD17"/>
    <mergeCell ref="R16:T16"/>
    <mergeCell ref="V16:X16"/>
    <mergeCell ref="Y16:Y17"/>
    <mergeCell ref="Z16:Z17"/>
    <mergeCell ref="AA16:AA17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C5D9F9-1F15-4524-B935-D2BC354B5BB5}">
          <x14:formula1>
            <xm:f>VALIDATION!$A$2:$A$7</xm:f>
          </x14:formula1>
          <xm:sqref>E7:E12 E18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836E-A55C-40F8-8A13-A32F35B51276}">
  <dimension ref="A1:AE22"/>
  <sheetViews>
    <sheetView topLeftCell="A7" zoomScaleNormal="100" workbookViewId="0">
      <selection activeCell="AD20" sqref="A20:AD21"/>
    </sheetView>
  </sheetViews>
  <sheetFormatPr defaultRowHeight="15" x14ac:dyDescent="0.25"/>
  <cols>
    <col min="1" max="1" width="3.140625" customWidth="1"/>
    <col min="2" max="2" width="5.5703125" customWidth="1"/>
    <col min="3" max="3" width="18.5703125" customWidth="1"/>
    <col min="4" max="4" width="10.28515625" bestFit="1" customWidth="1"/>
    <col min="5" max="5" width="8.7109375" customWidth="1"/>
    <col min="6" max="6" width="11" bestFit="1" customWidth="1"/>
    <col min="7" max="7" width="8" bestFit="1" customWidth="1"/>
    <col min="8" max="8" width="15.42578125" bestFit="1" customWidth="1"/>
    <col min="9" max="9" width="11" bestFit="1" customWidth="1"/>
    <col min="10" max="10" width="9.140625" bestFit="1" customWidth="1"/>
    <col min="11" max="12" width="15.42578125" bestFit="1" customWidth="1"/>
    <col min="13" max="13" width="14.5703125" bestFit="1" customWidth="1"/>
    <col min="14" max="15" width="9.42578125" bestFit="1" customWidth="1"/>
    <col min="16" max="16" width="13.42578125" bestFit="1" customWidth="1"/>
    <col min="17" max="17" width="2" customWidth="1"/>
    <col min="18" max="18" width="11.42578125" bestFit="1" customWidth="1"/>
    <col min="19" max="19" width="6.28515625" customWidth="1"/>
    <col min="20" max="20" width="7.28515625" customWidth="1"/>
    <col min="21" max="21" width="15.5703125" bestFit="1" customWidth="1"/>
    <col min="22" max="22" width="12.5703125" bestFit="1" customWidth="1"/>
    <col min="23" max="23" width="9.85546875" bestFit="1" customWidth="1"/>
    <col min="24" max="24" width="12.5703125" customWidth="1"/>
    <col min="25" max="25" width="12.57031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10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166</v>
      </c>
      <c r="C7" s="6"/>
      <c r="D7" s="7">
        <v>45855</v>
      </c>
      <c r="E7" s="8" t="s">
        <v>19</v>
      </c>
      <c r="F7" s="9">
        <v>7012</v>
      </c>
      <c r="G7" s="9">
        <v>882.25</v>
      </c>
      <c r="H7" s="9">
        <f>Table242830891013141516171812[[#This Row],[Purchase QTY]]*Table242830891013141516171812[[#This Row],[PPPU]]</f>
        <v>6186337</v>
      </c>
      <c r="I7" s="9"/>
      <c r="J7" s="9"/>
      <c r="K7" s="9"/>
      <c r="L7" s="9"/>
      <c r="M7" s="9">
        <f>Table242830891013141516171812[[#This Row],[Total Purchase Amount]]</f>
        <v>6186337</v>
      </c>
      <c r="N7" s="9">
        <f>IF(Table242830891013141516171812[[#This Row],[Txn Type]]="opening",Table242830891013141516171812[[#This Row],[Purchase QTY]],"Error")</f>
        <v>7012</v>
      </c>
      <c r="O7" s="42">
        <f>IFERROR(Table242830891013141516171812[[#This Row],[TC AP NFRS]]/Table242830891013141516171812[[#This Row],[Unit Sum]],0)</f>
        <v>882.25</v>
      </c>
      <c r="P7" s="10">
        <f>Table242830891013141516171812[[#This Row],[Sales Amt]]-Table242830891013141516171812[[#This Row],[Principal Cost As per  NFRS (In case of Sales)]]</f>
        <v>0</v>
      </c>
      <c r="R7" s="17"/>
      <c r="S7" s="17"/>
      <c r="T7" s="20">
        <f>R7+S7</f>
        <v>0</v>
      </c>
      <c r="U7" s="20">
        <f>AB7</f>
        <v>6200992.0800000001</v>
      </c>
      <c r="V7" s="20"/>
      <c r="W7" s="20"/>
      <c r="X7" s="20"/>
      <c r="Y7" s="46"/>
      <c r="Z7" s="46"/>
      <c r="AA7" s="46"/>
      <c r="AB7" s="46">
        <f>F7*AC7</f>
        <v>6200992.0800000001</v>
      </c>
      <c r="AC7" s="46">
        <v>884.34</v>
      </c>
      <c r="AD7" s="56"/>
    </row>
    <row r="8" spans="1:31" x14ac:dyDescent="0.25">
      <c r="A8" s="5">
        <f>A7+1</f>
        <v>2</v>
      </c>
      <c r="B8" s="6" t="s">
        <v>166</v>
      </c>
      <c r="C8" s="6" t="s">
        <v>167</v>
      </c>
      <c r="D8" s="7">
        <v>45855</v>
      </c>
      <c r="E8" s="8" t="s">
        <v>112</v>
      </c>
      <c r="F8" s="9">
        <v>0</v>
      </c>
      <c r="G8" s="9" t="e">
        <f>Table242830891013141516171812[[#This Row],[Total Purchase Amount]]/Table242830891013141516171812[[#This Row],[Purchase QTY]]</f>
        <v>#DIV/0!</v>
      </c>
      <c r="H8" s="9">
        <v>0</v>
      </c>
      <c r="I8" s="9">
        <v>150</v>
      </c>
      <c r="J8" s="9">
        <f>Table242830891013141516171812[[#This Row],[Sales Amt]]/Table242830891013141516171812[[#This Row],[Sales Qty]]</f>
        <v>905</v>
      </c>
      <c r="K8" s="9">
        <v>135750</v>
      </c>
      <c r="L8" s="9">
        <f>Table242830891013141516171812[[#This Row],[Sales Qty]]*O7</f>
        <v>132337.5</v>
      </c>
      <c r="M8" s="9">
        <f>M7+Table242830891013141516171812[[#This Row],[Total Purchase Amount]]-Table242830891013141516171812[[#This Row],[Principal Cost As per  NFRS (In case of Sales)]]</f>
        <v>6053999.5</v>
      </c>
      <c r="N8" s="9">
        <f>N7+Table242830891013141516171812[[#This Row],[Purchase QTY]]-Table242830891013141516171812[[#This Row],[Sales Qty]]</f>
        <v>6862</v>
      </c>
      <c r="O8" s="42">
        <f>IFERROR(Table242830891013141516171812[[#This Row],[TC AP NFRS]]/Table242830891013141516171812[[#This Row],[Unit Sum]],0)</f>
        <v>882.25</v>
      </c>
      <c r="P8" s="10">
        <f>Table242830891013141516171812[[#This Row],[Sales Amt]]-Table242830891013141516171812[[#This Row],[Principal Cost As per  NFRS (In case of Sales)]]</f>
        <v>3412.5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f>20.37+461.55</f>
        <v>481.92</v>
      </c>
      <c r="W8" s="20">
        <v>25</v>
      </c>
      <c r="X8" s="55">
        <f>V8+W8</f>
        <v>506.92</v>
      </c>
      <c r="Y8" s="20">
        <v>259.20999999999998</v>
      </c>
      <c r="Z8" s="20">
        <f>K8-X8-Y8</f>
        <v>134983.87</v>
      </c>
      <c r="AA8" s="20">
        <f>I8*AC7</f>
        <v>132651</v>
      </c>
      <c r="AB8" s="20">
        <f>AB7+U8-AA8</f>
        <v>6068341.0800000001</v>
      </c>
      <c r="AC8" s="20">
        <f>IFERROR(AB8/N8,0)</f>
        <v>884.34</v>
      </c>
      <c r="AD8" s="58">
        <f>Z8-AA8+Y8</f>
        <v>2592.0799999999954</v>
      </c>
    </row>
    <row r="9" spans="1:31" x14ac:dyDescent="0.25">
      <c r="A9" s="5">
        <f t="shared" ref="A9:A16" si="0">A8+1</f>
        <v>3</v>
      </c>
      <c r="B9" s="6" t="s">
        <v>166</v>
      </c>
      <c r="C9" s="6" t="s">
        <v>168</v>
      </c>
      <c r="D9" s="7">
        <v>45858</v>
      </c>
      <c r="E9" s="8" t="s">
        <v>112</v>
      </c>
      <c r="F9" s="9">
        <v>0</v>
      </c>
      <c r="G9" s="9">
        <f>IF(Table242830891013141516171812[[#This Row],[SPPU]]&gt;=0,0,Table242830891013141516171812[[#This Row],[Total Purchase Amount]]/Table242830891013141516171812[[#This Row],[Purchase QTY]])</f>
        <v>0</v>
      </c>
      <c r="H9" s="9">
        <v>0</v>
      </c>
      <c r="I9" s="9">
        <v>500</v>
      </c>
      <c r="J9" s="9">
        <f>IFERROR(Table242830891013141516171812[[#This Row],[Sales Amt]]/Table242830891013141516171812[[#This Row],[Sales Qty]],0)</f>
        <v>935</v>
      </c>
      <c r="K9" s="9">
        <v>467500</v>
      </c>
      <c r="L9" s="9">
        <f>Table242830891013141516171812[[#This Row],[Sales Qty]]*O8</f>
        <v>441125</v>
      </c>
      <c r="M9" s="9">
        <f>M8+Table242830891013141516171812[[#This Row],[Total Purchase Amount]]-Table242830891013141516171812[[#This Row],[Principal Cost As per  NFRS (In case of Sales)]]</f>
        <v>5612874.5</v>
      </c>
      <c r="N9" s="9">
        <f>N8+Table242830891013141516171812[[#This Row],[Purchase QTY]]-Table242830891013141516171812[[#This Row],[Sales Qty]]</f>
        <v>6362</v>
      </c>
      <c r="O9" s="42">
        <f>IFERROR(Table242830891013141516171812[[#This Row],[TC AP NFRS]]/Table242830891013141516171812[[#This Row],[Unit Sum]],0)</f>
        <v>882.25</v>
      </c>
      <c r="P9" s="10">
        <f>Table242830891013141516171812[[#This Row],[Sales Amt]]-Table242830891013141516171812[[#This Row],[Principal Cost As per  NFRS (In case of Sales)]]</f>
        <v>26375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f>70.13+1542.75</f>
        <v>1612.88</v>
      </c>
      <c r="W9" s="17">
        <v>25</v>
      </c>
      <c r="X9" s="20">
        <f t="shared" ref="X9:X16" si="2">V9+W9</f>
        <v>1637.88</v>
      </c>
      <c r="Y9" s="20">
        <v>2369.21</v>
      </c>
      <c r="Z9" s="20">
        <f t="shared" ref="Z9:Z16" si="3">K9-X9-Y9</f>
        <v>463492.91</v>
      </c>
      <c r="AA9" s="20">
        <f t="shared" ref="AA9:AA16" si="4">I9*AC8</f>
        <v>442170</v>
      </c>
      <c r="AB9" s="20">
        <f t="shared" ref="AB9:AB16" si="5">AB8+U9-AA9</f>
        <v>5626171.0800000001</v>
      </c>
      <c r="AC9" s="20">
        <f t="shared" ref="AC9:AC17" si="6">IFERROR(AB9/N9,0)</f>
        <v>884.34</v>
      </c>
      <c r="AD9" s="58">
        <f t="shared" ref="AD9:AD16" si="7">Z9-AA9+Y9</f>
        <v>23692.119999999974</v>
      </c>
    </row>
    <row r="10" spans="1:31" x14ac:dyDescent="0.25">
      <c r="A10" s="5">
        <f t="shared" si="0"/>
        <v>4</v>
      </c>
      <c r="B10" s="6" t="s">
        <v>166</v>
      </c>
      <c r="C10" s="6" t="s">
        <v>169</v>
      </c>
      <c r="D10" s="7">
        <v>45859</v>
      </c>
      <c r="E10" s="8" t="s">
        <v>112</v>
      </c>
      <c r="F10" s="9"/>
      <c r="G10" s="9">
        <f>IF(Table242830891013141516171812[[#This Row],[SPPU]]&gt;=0,0,Table242830891013141516171812[[#This Row],[Total Purchase Amount]]/Table242830891013141516171812[[#This Row],[Purchase QTY]])</f>
        <v>0</v>
      </c>
      <c r="H10" s="9"/>
      <c r="I10" s="9">
        <v>710</v>
      </c>
      <c r="J10" s="9">
        <f>IFERROR(Table242830891013141516171812[[#This Row],[Sales Amt]]/Table242830891013141516171812[[#This Row],[Sales Qty]],0)</f>
        <v>936.83661971830986</v>
      </c>
      <c r="K10" s="9">
        <v>665154</v>
      </c>
      <c r="L10" s="9">
        <f>Table242830891013141516171812[[#This Row],[Sales Qty]]*O9</f>
        <v>626397.5</v>
      </c>
      <c r="M10" s="9">
        <f>M9+Table242830891013141516171812[[#This Row],[Total Purchase Amount]]-Table242830891013141516171812[[#This Row],[Principal Cost As per  NFRS (In case of Sales)]]</f>
        <v>4986477</v>
      </c>
      <c r="N10" s="9">
        <f>N9+Table242830891013141516171812[[#This Row],[Purchase QTY]]-Table242830891013141516171812[[#This Row],[Sales Qty]]</f>
        <v>5652</v>
      </c>
      <c r="O10" s="42">
        <f>IFERROR(Table242830891013141516171812[[#This Row],[TC AP NFRS]]/Table242830891013141516171812[[#This Row],[Unit Sum]],0)</f>
        <v>882.25</v>
      </c>
      <c r="P10" s="10">
        <f>Table242830891013141516171812[[#This Row],[Sales Amt]]-Table242830891013141516171812[[#This Row],[Principal Cost As per  NFRS (In case of Sales)]]</f>
        <v>38756.5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f>99.78+2197.82</f>
        <v>2297.6000000000004</v>
      </c>
      <c r="W10" s="20">
        <v>25</v>
      </c>
      <c r="X10" s="55">
        <f t="shared" si="2"/>
        <v>2322.6000000000004</v>
      </c>
      <c r="Y10" s="20">
        <v>3495</v>
      </c>
      <c r="Z10" s="20">
        <f t="shared" si="3"/>
        <v>659336.4</v>
      </c>
      <c r="AA10" s="20">
        <f t="shared" si="4"/>
        <v>627881.4</v>
      </c>
      <c r="AB10" s="20">
        <f t="shared" si="5"/>
        <v>4998289.68</v>
      </c>
      <c r="AC10" s="20">
        <f t="shared" si="6"/>
        <v>884.33999999999992</v>
      </c>
      <c r="AD10" s="58">
        <f t="shared" si="7"/>
        <v>34950</v>
      </c>
    </row>
    <row r="11" spans="1:31" x14ac:dyDescent="0.25">
      <c r="A11" s="5">
        <f t="shared" si="0"/>
        <v>5</v>
      </c>
      <c r="B11" s="6" t="s">
        <v>166</v>
      </c>
      <c r="C11" s="6" t="s">
        <v>170</v>
      </c>
      <c r="D11" s="7">
        <v>45860</v>
      </c>
      <c r="E11" s="8" t="s">
        <v>112</v>
      </c>
      <c r="F11" s="9"/>
      <c r="G11" s="9">
        <f>IF(Table242830891013141516171812[[#This Row],[SPPU]]&gt;=0,0,Table242830891013141516171812[[#This Row],[Total Purchase Amount]]/Table242830891013141516171812[[#This Row],[Purchase QTY]])</f>
        <v>0</v>
      </c>
      <c r="H11" s="9"/>
      <c r="I11" s="9">
        <v>5652</v>
      </c>
      <c r="J11" s="9">
        <f>Table242830891013141516171812[[#This Row],[Sales Amt]]/Table242830891013141516171812[[#This Row],[Sales Qty]]</f>
        <v>969.30290162774236</v>
      </c>
      <c r="K11" s="9">
        <v>5478500</v>
      </c>
      <c r="L11" s="9">
        <f>Table242830891013141516171812[[#This Row],[Sales Qty]]*O10</f>
        <v>4986477</v>
      </c>
      <c r="M11" s="9">
        <f>M10+Table242830891013141516171812[[#This Row],[Total Purchase Amount]]-Table242830891013141516171812[[#This Row],[Principal Cost As per  NFRS (In case of Sales)]]</f>
        <v>0</v>
      </c>
      <c r="N11" s="9">
        <f>N10+Table242830891013141516171812[[#This Row],[Purchase QTY]]-Table242830891013141516171812[[#This Row],[Sales Qty]]</f>
        <v>0</v>
      </c>
      <c r="O11" s="42">
        <f>IFERROR(Table242830891013141516171812[[#This Row],[TC AP NFRS]]/Table242830891013141516171812[[#This Row],[Unit Sum]],0)</f>
        <v>0</v>
      </c>
      <c r="P11" s="10">
        <f>Table242830891013141516171812[[#This Row],[Sales Amt]]-Table242830891013141516171812[[#This Row],[Principal Cost As per  NFRS (In case of Sales)]]</f>
        <v>492023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f>821.79+17330.18</f>
        <v>18151.97</v>
      </c>
      <c r="W11" s="20">
        <v>25</v>
      </c>
      <c r="X11" s="55">
        <f t="shared" si="2"/>
        <v>18176.97</v>
      </c>
      <c r="Y11" s="20">
        <v>46203.35</v>
      </c>
      <c r="Z11" s="20">
        <f t="shared" si="3"/>
        <v>5414119.6800000006</v>
      </c>
      <c r="AA11" s="20">
        <f t="shared" si="4"/>
        <v>4998289.68</v>
      </c>
      <c r="AB11" s="20">
        <f t="shared" si="5"/>
        <v>0</v>
      </c>
      <c r="AC11" s="20">
        <f t="shared" si="6"/>
        <v>0</v>
      </c>
      <c r="AD11" s="58">
        <f t="shared" si="7"/>
        <v>462033.35000000091</v>
      </c>
    </row>
    <row r="12" spans="1:3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Table242830891013141516171812[[#This Row],[Total Purchase Amount]]/Table242830891013141516171812[[#This Row],[Purchase QTY]]</f>
        <v>#DIV/0!</v>
      </c>
      <c r="H12" s="9">
        <v>0</v>
      </c>
      <c r="I12" s="9">
        <v>0</v>
      </c>
      <c r="J12" s="9">
        <f ca="1">IFERROR(Table242830891013141516171812[[#This Row],[Sales Amt]]/Table242830891013141516171812[[#This Row],[Sales Qty]],0)</f>
        <v>0</v>
      </c>
      <c r="K12" s="9">
        <f ca="1">Table242830891013141516171812[[#This Row],[Sales Qty]]*Table242830891013141516171812[[#This Row],[SPPU]]</f>
        <v>0</v>
      </c>
      <c r="L12" s="9">
        <f>Table242830891013141516171812[[#This Row],[Sales Qty]]*O11</f>
        <v>0</v>
      </c>
      <c r="M12" s="9">
        <f>M11+Table242830891013141516171812[[#This Row],[Total Purchase Amount]]-Table242830891013141516171812[[#This Row],[Principal Cost As per  NFRS (In case of Sales)]]</f>
        <v>0</v>
      </c>
      <c r="N12" s="9">
        <f>N11+Table242830891013141516171812[[#This Row],[Purchase QTY]]-Table242830891013141516171812[[#This Row],[Sales Qty]]</f>
        <v>0</v>
      </c>
      <c r="O12" s="42">
        <f>IFERROR(Table242830891013141516171812[[#This Row],[TC AP NFRS]]/Table242830891013141516171812[[#This Row],[Unit Sum]],0)</f>
        <v>0</v>
      </c>
      <c r="P12" s="10">
        <f ca="1">Table242830891013141516171812[[#This Row],[Sales Amt]]-Table242830891013141516171812[[#This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0</v>
      </c>
      <c r="AC12" s="20">
        <f t="shared" si="6"/>
        <v>0</v>
      </c>
      <c r="AD12" s="58">
        <f t="shared" ca="1" si="7"/>
        <v>0</v>
      </c>
    </row>
    <row r="13" spans="1:3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Table242830891013141516171812[[#This Row],[Total Purchase Amount]]/Table242830891013141516171812[[#This Row],[Purchase QTY]]</f>
        <v>#DIV/0!</v>
      </c>
      <c r="H13" s="9">
        <v>0</v>
      </c>
      <c r="I13" s="9">
        <v>0</v>
      </c>
      <c r="J13" s="9">
        <f ca="1">IFERROR(Table242830891013141516171812[[#This Row],[Sales Amt]]/Table242830891013141516171812[[#This Row],[Sales Qty]],0)</f>
        <v>0</v>
      </c>
      <c r="K13" s="9">
        <f ca="1">Table242830891013141516171812[[#This Row],[Sales Qty]]*Table242830891013141516171812[[#This Row],[SPPU]]</f>
        <v>0</v>
      </c>
      <c r="L13" s="9">
        <f>Table242830891013141516171812[[#This Row],[Sales Qty]]*O12</f>
        <v>0</v>
      </c>
      <c r="M13" s="9">
        <f>M12+Table242830891013141516171812[[#This Row],[Total Purchase Amount]]-Table242830891013141516171812[[#This Row],[Principal Cost As per  NFRS (In case of Sales)]]</f>
        <v>0</v>
      </c>
      <c r="N13" s="9">
        <f>N12+Table242830891013141516171812[[#This Row],[Purchase QTY]]-Table242830891013141516171812[[#This Row],[Sales Qty]]</f>
        <v>0</v>
      </c>
      <c r="O13" s="42">
        <f>IFERROR(Table242830891013141516171812[[#This Row],[TC AP NFRS]]/Table242830891013141516171812[[#This Row],[Unit Sum]],0)</f>
        <v>0</v>
      </c>
      <c r="P13" s="10">
        <f ca="1">Table242830891013141516171812[[#This Row],[Sales Amt]]-Table242830891013141516171812[[#This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0</v>
      </c>
      <c r="AC13" s="20">
        <f t="shared" si="6"/>
        <v>0</v>
      </c>
      <c r="AD13" s="58">
        <f t="shared" ca="1" si="7"/>
        <v>0</v>
      </c>
    </row>
    <row r="14" spans="1:3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IF(Table242830891013141516171812[[#This Row],[SPPU]]&gt;=0,0,Table242830891013141516171812[[#This Row],[Total Purchase Amount]]/Table242830891013141516171812[[#This Row],[Purchase QTY]])</f>
        <v>0</v>
      </c>
      <c r="H14" s="9"/>
      <c r="I14" s="9">
        <v>0</v>
      </c>
      <c r="J14" s="9">
        <f>IFERROR(Table242830891013141516171812[[#This Row],[Sales Amt]]/Table242830891013141516171812[[#This Row],[Sales Qty]],0)</f>
        <v>0</v>
      </c>
      <c r="K14" s="9">
        <v>0</v>
      </c>
      <c r="L14" s="9">
        <f>Table242830891013141516171812[[#This Row],[Sales Qty]]*O12</f>
        <v>0</v>
      </c>
      <c r="M14" s="9">
        <f>M13+Table242830891013141516171812[[#This Row],[Total Purchase Amount]]-Table242830891013141516171812[[#This Row],[Principal Cost As per  NFRS (In case of Sales)]]</f>
        <v>0</v>
      </c>
      <c r="N14" s="9">
        <f>N13+Table242830891013141516171812[[#This Row],[Purchase QTY]]-Table242830891013141516171812[[#This Row],[Sales Qty]]</f>
        <v>0</v>
      </c>
      <c r="O14" s="42">
        <f>IFERROR(Table242830891013141516171812[[#This Row],[TC AP NFRS]]/Table242830891013141516171812[[#This Row],[Unit Sum]],0)</f>
        <v>0</v>
      </c>
      <c r="P14" s="10">
        <f>Table242830891013141516171812[[#This Row],[Sales Amt]]-Table242830891013141516171812[[#This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0</v>
      </c>
      <c r="AC14" s="20">
        <f t="shared" si="6"/>
        <v>0</v>
      </c>
      <c r="AD14" s="58">
        <f t="shared" si="7"/>
        <v>0</v>
      </c>
    </row>
    <row r="15" spans="1:3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IF(Table242830891013141516171812[[#This Row],[SPPU]]&gt;=0,0,Table242830891013141516171812[[#This Row],[Total Purchase Amount]]/Table242830891013141516171812[[#This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Table242830891013141516171812[[#This Row],[Sales Qty]]*O14</f>
        <v>0</v>
      </c>
      <c r="M15" s="9">
        <f>M14+Table242830891013141516171812[[#This Row],[Total Purchase Amount]]-Table242830891013141516171812[[#This Row],[Principal Cost As per  NFRS (In case of Sales)]]</f>
        <v>0</v>
      </c>
      <c r="N15" s="9">
        <f>N14+Table242830891013141516171812[[#This Row],[Purchase QTY]]-Table242830891013141516171812[[#This Row],[Sales Qty]]</f>
        <v>0</v>
      </c>
      <c r="O15" s="42">
        <f>IFERROR(Table242830891013141516171812[[#This Row],[TC AP NFRS]]/Table242830891013141516171812[[#This Row],[Unit Sum]],0)</f>
        <v>0</v>
      </c>
      <c r="P15" s="10">
        <f>Table242830891013141516171812[[#This Row],[Sales Amt]]-Table242830891013141516171812[[#This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0</v>
      </c>
      <c r="AC15" s="20">
        <f t="shared" si="6"/>
        <v>0</v>
      </c>
      <c r="AD15" s="58">
        <f t="shared" si="7"/>
        <v>0</v>
      </c>
    </row>
    <row r="16" spans="1:3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IF(Table242830891013141516171812[[#This Row],[SPPU]]&gt;=0,0,Table242830891013141516171812[[#This Row],[Total Purchase Amount]]/Table242830891013141516171812[[#This Row],[Purchase QTY]])</f>
        <v>#DIV/0!</v>
      </c>
      <c r="H16" s="9"/>
      <c r="I16" s="9">
        <v>0</v>
      </c>
      <c r="J16" s="9" t="e">
        <f>Table242830891013141516171812[[#This Row],[Sales Amt]]/Table242830891013141516171812[[#This Row],[Sales Qty]]</f>
        <v>#DIV/0!</v>
      </c>
      <c r="K16" s="9">
        <v>0</v>
      </c>
      <c r="L16" s="9">
        <f>Table242830891013141516171812[[#This Row],[Sales Qty]]*O15</f>
        <v>0</v>
      </c>
      <c r="M16" s="9">
        <f>M15+Table242830891013141516171812[[#This Row],[Total Purchase Amount]]-Table242830891013141516171812[[#This Row],[Principal Cost As per  NFRS (In case of Sales)]]</f>
        <v>0</v>
      </c>
      <c r="N16" s="9">
        <f>N15+Table242830891013141516171812[[#This Row],[Purchase QTY]]-Table242830891013141516171812[[#This Row],[Sales Qty]]</f>
        <v>0</v>
      </c>
      <c r="O16" s="42">
        <f>IFERROR(Table242830891013141516171812[[#This Row],[TC AP NFRS]]/Table242830891013141516171812[[#This Row],[Unit Sum]],0)</f>
        <v>0</v>
      </c>
      <c r="P16" s="10">
        <f>Table242830891013141516171812[[#This Row],[Sales Amt]]-Table242830891013141516171812[[#This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0</v>
      </c>
      <c r="AC16" s="20">
        <f t="shared" si="6"/>
        <v>0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7012</v>
      </c>
      <c r="G17" s="15"/>
      <c r="H17" s="15">
        <f ca="1">SUM(INDIRECT("h4:h"&amp;ROW()-1))</f>
        <v>6186337</v>
      </c>
      <c r="I17" s="15">
        <f ca="1">SUM(INDIRECT("i4:i"&amp;ROW()-1))</f>
        <v>7012</v>
      </c>
      <c r="J17" s="15">
        <f ca="1">Table242830891013141516171812[[#This Row],[Sales Amt]]/Table242830891013141516171812[[#This Row],[Sales Qty]]</f>
        <v>962.19395322304615</v>
      </c>
      <c r="K17" s="15">
        <f ca="1">SUBTOTAL(109,K7:K16)</f>
        <v>6746904</v>
      </c>
      <c r="L17" s="15">
        <f>SUBTOTAL(109,L7:L16)</f>
        <v>6186337</v>
      </c>
      <c r="M17" s="15">
        <f ca="1">Table242830891013141516171812[[#This Row],[Total Purchase Amount]]-Table242830891013141516171812[[#This Row],[Principal Cost As per  NFRS (In case of Sales)]]</f>
        <v>0</v>
      </c>
      <c r="N17" s="15">
        <f ca="1">Table242830891013141516171812[[#This Row],[Purchase QTY]]-Table242830891013141516171812[[#This Row],[Sales Qty]]</f>
        <v>0</v>
      </c>
      <c r="O17" s="43">
        <f ca="1">IFERROR(Table242830891013141516171812[[#This Row],[TC AP NFRS]]/Table242830891013141516171812[[#This Row],[Unit Sum]],0)</f>
        <v>0</v>
      </c>
      <c r="P17" s="15">
        <f ca="1">SUM(INDIRECT("p4:p"&amp;ROW()-1))</f>
        <v>560567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6200992.0800000001</v>
      </c>
      <c r="V17" s="24">
        <f>SUM(V7:V16)</f>
        <v>22544.370000000003</v>
      </c>
      <c r="W17" s="24">
        <f t="shared" si="9"/>
        <v>100</v>
      </c>
      <c r="X17" s="24">
        <f>SUM(X7:X16)</f>
        <v>22644.370000000003</v>
      </c>
      <c r="Y17" s="24">
        <f>SUM(Y7:Y16)</f>
        <v>52326.77</v>
      </c>
      <c r="Z17" s="24">
        <f ca="1">SUM(Z7:Z16)</f>
        <v>6671932.8600000013</v>
      </c>
      <c r="AA17" s="24">
        <f t="shared" si="9"/>
        <v>6200992.0800000001</v>
      </c>
      <c r="AB17" s="24">
        <f>U17-AA17</f>
        <v>0</v>
      </c>
      <c r="AC17" s="24">
        <f t="shared" ca="1" si="6"/>
        <v>0</v>
      </c>
      <c r="AD17" s="24">
        <f ca="1">SUM(AD7:AD16)</f>
        <v>523267.55000000086</v>
      </c>
    </row>
    <row r="20" spans="1:30" x14ac:dyDescent="0.25">
      <c r="A20" t="s">
        <v>882</v>
      </c>
      <c r="R20" s="120" t="s">
        <v>20</v>
      </c>
      <c r="S20" s="121"/>
      <c r="T20" s="121"/>
      <c r="U20" s="50"/>
      <c r="V20" s="120" t="s">
        <v>67</v>
      </c>
      <c r="W20" s="121"/>
      <c r="X20" s="121"/>
      <c r="Y20" s="123" t="s">
        <v>13</v>
      </c>
      <c r="Z20" s="124" t="s">
        <v>10</v>
      </c>
      <c r="AA20" s="125" t="s">
        <v>66</v>
      </c>
      <c r="AB20" s="123" t="s">
        <v>15</v>
      </c>
      <c r="AC20" s="123" t="s">
        <v>18</v>
      </c>
      <c r="AD20" s="123" t="s">
        <v>12</v>
      </c>
    </row>
    <row r="21" spans="1:30" ht="105" x14ac:dyDescent="0.25">
      <c r="A21" s="1" t="s">
        <v>57</v>
      </c>
      <c r="B21" s="2" t="s">
        <v>0</v>
      </c>
      <c r="C21" s="2" t="s">
        <v>53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51</v>
      </c>
      <c r="I21" s="2" t="s">
        <v>6</v>
      </c>
      <c r="J21" s="16" t="s">
        <v>7</v>
      </c>
      <c r="K21" s="16" t="s">
        <v>8</v>
      </c>
      <c r="L21" s="2" t="s">
        <v>50</v>
      </c>
      <c r="M21" s="2" t="s">
        <v>14</v>
      </c>
      <c r="N21" s="2" t="s">
        <v>16</v>
      </c>
      <c r="O21" s="4" t="s">
        <v>17</v>
      </c>
      <c r="P21" s="3" t="s">
        <v>11</v>
      </c>
      <c r="R21" s="2" t="s">
        <v>65</v>
      </c>
      <c r="S21" s="2" t="s">
        <v>62</v>
      </c>
      <c r="T21" s="2" t="s">
        <v>5</v>
      </c>
      <c r="U21" s="2" t="s">
        <v>164</v>
      </c>
      <c r="V21" s="16" t="s">
        <v>64</v>
      </c>
      <c r="W21" s="16" t="s">
        <v>62</v>
      </c>
      <c r="X21" s="45" t="s">
        <v>9</v>
      </c>
      <c r="Y21" s="123"/>
      <c r="Z21" s="124"/>
      <c r="AA21" s="125"/>
      <c r="AB21" s="123"/>
      <c r="AC21" s="123"/>
      <c r="AD21" s="123"/>
    </row>
    <row r="22" spans="1:30" x14ac:dyDescent="0.25">
      <c r="A22" s="96">
        <v>1</v>
      </c>
      <c r="B22" s="97" t="s">
        <v>166</v>
      </c>
      <c r="C22" s="97"/>
      <c r="D22" s="98">
        <v>45886</v>
      </c>
      <c r="E22" s="99" t="s">
        <v>19</v>
      </c>
      <c r="F22" s="59">
        <v>7012</v>
      </c>
      <c r="G22" s="59"/>
      <c r="H22" s="59">
        <v>6186337</v>
      </c>
      <c r="I22" s="59">
        <v>7012</v>
      </c>
      <c r="J22" s="59">
        <v>962.19395322304615</v>
      </c>
      <c r="K22" s="59">
        <v>6746904</v>
      </c>
      <c r="L22" s="59">
        <v>6186337</v>
      </c>
      <c r="M22" s="59"/>
      <c r="N22" s="59"/>
      <c r="O22" s="59"/>
      <c r="P22" s="59">
        <v>560567</v>
      </c>
      <c r="Q22" s="59"/>
      <c r="R22" s="59"/>
      <c r="S22" s="59"/>
      <c r="T22" s="59"/>
      <c r="U22" s="59">
        <v>6200992.0800000001</v>
      </c>
      <c r="V22" s="59">
        <v>22544.370000000003</v>
      </c>
      <c r="W22" s="59">
        <v>100</v>
      </c>
      <c r="X22" s="59">
        <v>22644.370000000003</v>
      </c>
      <c r="Y22" s="59">
        <v>52326.77</v>
      </c>
      <c r="Z22" s="59">
        <v>6671932.8600000013</v>
      </c>
      <c r="AA22" s="59">
        <v>6200992.0800000001</v>
      </c>
      <c r="AB22" s="59"/>
      <c r="AC22" s="59"/>
      <c r="AD22" s="59">
        <v>523267.55000000086</v>
      </c>
    </row>
  </sheetData>
  <mergeCells count="16">
    <mergeCell ref="AB20:AB21"/>
    <mergeCell ref="AC20:AC21"/>
    <mergeCell ref="AD20:AD21"/>
    <mergeCell ref="R20:T20"/>
    <mergeCell ref="V20:X20"/>
    <mergeCell ref="Y20:Y21"/>
    <mergeCell ref="Z20:Z21"/>
    <mergeCell ref="AA20:AA21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9181E3-5C71-4D19-A875-D61B7BF7723B}">
          <x14:formula1>
            <xm:f>VALIDATION!$A$2:$A$7</xm:f>
          </x14:formula1>
          <xm:sqref>E7:E16 E22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736C-2E2B-4B83-9E1F-A4F68ADB9B41}">
  <dimension ref="A1:AE21"/>
  <sheetViews>
    <sheetView zoomScaleNormal="100" workbookViewId="0">
      <selection activeCell="AD19" sqref="A19:AD20"/>
    </sheetView>
  </sheetViews>
  <sheetFormatPr defaultRowHeight="15" x14ac:dyDescent="0.25"/>
  <cols>
    <col min="1" max="1" width="3.7109375" customWidth="1"/>
    <col min="2" max="2" width="9.140625" customWidth="1"/>
    <col min="3" max="3" width="16.85546875" bestFit="1" customWidth="1"/>
    <col min="4" max="4" width="10.28515625" bestFit="1" customWidth="1"/>
    <col min="5" max="5" width="8.7109375" customWidth="1"/>
    <col min="6" max="6" width="11" bestFit="1" customWidth="1"/>
    <col min="7" max="7" width="8" bestFit="1" customWidth="1"/>
    <col min="8" max="8" width="14.85546875" bestFit="1" customWidth="1"/>
    <col min="9" max="9" width="11" bestFit="1" customWidth="1"/>
    <col min="10" max="10" width="9.140625" bestFit="1" customWidth="1"/>
    <col min="11" max="11" width="13.42578125" bestFit="1" customWidth="1"/>
    <col min="12" max="12" width="13.5703125" bestFit="1" customWidth="1"/>
    <col min="13" max="13" width="11.5703125" bestFit="1" customWidth="1"/>
    <col min="14" max="15" width="9.42578125" bestFit="1" customWidth="1"/>
    <col min="16" max="16" width="13" bestFit="1" customWidth="1"/>
    <col min="17" max="17" width="1.85546875" customWidth="1"/>
    <col min="18" max="18" width="11.42578125" bestFit="1" customWidth="1"/>
    <col min="20" max="20" width="11.42578125" bestFit="1" customWidth="1"/>
    <col min="21" max="21" width="15.5703125" bestFit="1" customWidth="1"/>
    <col min="22" max="22" width="11.42578125" bestFit="1" customWidth="1"/>
    <col min="23" max="23" width="10.5703125" customWidth="1"/>
    <col min="24" max="24" width="11.42578125" bestFit="1" customWidth="1"/>
    <col min="25" max="25" width="10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173</v>
      </c>
      <c r="C7" s="6"/>
      <c r="D7" s="7">
        <v>45855</v>
      </c>
      <c r="E7" s="8" t="s">
        <v>19</v>
      </c>
      <c r="F7" s="9">
        <v>1177</v>
      </c>
      <c r="G7" s="9">
        <v>656.1</v>
      </c>
      <c r="H7" s="9">
        <f>Table24283089101314151617181239[[#This Row],[Purchase QTY]]*Table24283089101314151617181239[[#This Row],[PPPU]]</f>
        <v>772229.70000000007</v>
      </c>
      <c r="I7" s="9"/>
      <c r="J7" s="9"/>
      <c r="K7" s="9"/>
      <c r="L7" s="9"/>
      <c r="M7" s="9">
        <f>Table24283089101314151617181239[[#This Row],[Total Purchase Amount]]</f>
        <v>772229.70000000007</v>
      </c>
      <c r="N7" s="9">
        <f>IF(Table24283089101314151617181239[[#This Row],[Txn Type]]="opening",Table24283089101314151617181239[[#This Row],[Purchase QTY]],"Error")</f>
        <v>1177</v>
      </c>
      <c r="O7" s="42">
        <f>IFERROR(Table24283089101314151617181239[[#This Row],[TC AP NFRS]]/Table24283089101314151617181239[[#This Row],[Unit Sum]],0)</f>
        <v>656.1</v>
      </c>
      <c r="P7" s="10">
        <f>Table24283089101314151617181239[[#This Row],[Sales Amt]]-Table24283089101314151617181239[[#This Row],[Principal Cost As per  NFRS (In case of Sales)]]</f>
        <v>0</v>
      </c>
      <c r="R7" s="17"/>
      <c r="S7" s="17"/>
      <c r="T7" s="20">
        <f>R7+S7</f>
        <v>0</v>
      </c>
      <c r="U7" s="20">
        <f>AB7</f>
        <v>787401.23</v>
      </c>
      <c r="V7" s="20"/>
      <c r="W7" s="20"/>
      <c r="X7" s="20"/>
      <c r="Y7" s="46"/>
      <c r="Z7" s="46"/>
      <c r="AA7" s="46"/>
      <c r="AB7" s="46">
        <f>F7*AC7</f>
        <v>787401.23</v>
      </c>
      <c r="AC7" s="46">
        <v>668.99</v>
      </c>
      <c r="AD7" s="56"/>
    </row>
    <row r="8" spans="1:31" ht="30" x14ac:dyDescent="0.25">
      <c r="A8" s="5">
        <f>A7+1</f>
        <v>2</v>
      </c>
      <c r="B8" s="6" t="s">
        <v>173</v>
      </c>
      <c r="C8" s="6" t="s">
        <v>174</v>
      </c>
      <c r="D8" s="7">
        <v>45860</v>
      </c>
      <c r="E8" s="8" t="s">
        <v>112</v>
      </c>
      <c r="F8" s="9">
        <v>0</v>
      </c>
      <c r="G8" s="9">
        <f>IFERROR(Table24283089101314151617181239[[#This Row],[Total Purchase Amount]]/Table24283089101314151617181239[[#This Row],[Purchase QTY]],0)</f>
        <v>0</v>
      </c>
      <c r="H8" s="9">
        <v>0</v>
      </c>
      <c r="I8" s="9">
        <v>1177</v>
      </c>
      <c r="J8" s="9">
        <f>Table24283089101314151617181239[[#This Row],[Sales Amt]]/Table24283089101314151617181239[[#This Row],[Sales Qty]]</f>
        <v>668.72557349192869</v>
      </c>
      <c r="K8" s="9">
        <v>787090</v>
      </c>
      <c r="L8" s="9">
        <f>Table24283089101314151617181239[[#This Row],[Sales Qty]]*O7</f>
        <v>772229.70000000007</v>
      </c>
      <c r="M8" s="9">
        <f>M7+Table24283089101314151617181239[[#This Row],[Total Purchase Amount]]-Table24283089101314151617181239[[#This Row],[Principal Cost As per  NFRS (In case of Sales)]]</f>
        <v>0</v>
      </c>
      <c r="N8" s="9">
        <f>N7+Table24283089101314151617181239[[#This Row],[Purchase QTY]]-Table24283089101314151617181239[[#This Row],[Sales Qty]]</f>
        <v>0</v>
      </c>
      <c r="O8" s="42">
        <f>IFERROR(Table24283089101314151617181239[[#This Row],[TC AP NFRS]]/Table24283089101314151617181239[[#This Row],[Unit Sum]],0)</f>
        <v>0</v>
      </c>
      <c r="P8" s="10">
        <f>Table24283089101314151617181239[[#This Row],[Sales Amt]]-Table24283089101314151617181239[[#This Row],[Principal Cost As per  NFRS (In case of Sales)]]</f>
        <v>14860.29999999993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f>118.07+2606.61</f>
        <v>2724.6800000000003</v>
      </c>
      <c r="W8" s="20">
        <v>25</v>
      </c>
      <c r="X8" s="55">
        <f>V8+W8</f>
        <v>2749.6800000000003</v>
      </c>
      <c r="Y8" s="20">
        <v>0</v>
      </c>
      <c r="Z8" s="20">
        <f>K8-X8-Y8</f>
        <v>784340.32</v>
      </c>
      <c r="AA8" s="20">
        <f>I8*AC7</f>
        <v>787401.23</v>
      </c>
      <c r="AB8" s="20">
        <f>AB7+U8-AA8</f>
        <v>0</v>
      </c>
      <c r="AC8" s="20">
        <f>IFERROR(AB8/N8,0)</f>
        <v>0</v>
      </c>
      <c r="AD8" s="58">
        <f>Z8-AA8+Y8</f>
        <v>-3060.9100000000326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IF(Table24283089101314151617181239[[#This Row],[SPPU]]&gt;=0,0,Table24283089101314151617181239[[#This Row],[Total Purchase Amount]]/Table24283089101314151617181239[[#This Row],[Purchase QTY]])</f>
        <v>0</v>
      </c>
      <c r="H9" s="9">
        <v>0</v>
      </c>
      <c r="I9" s="9">
        <v>0</v>
      </c>
      <c r="J9" s="9">
        <f>IFERROR(Table24283089101314151617181239[[#This Row],[Sales Amt]]/Table24283089101314151617181239[[#This Row],[Sales Qty]],0)</f>
        <v>0</v>
      </c>
      <c r="K9" s="9">
        <v>0</v>
      </c>
      <c r="L9" s="9">
        <f>Table24283089101314151617181239[[#This Row],[Sales Qty]]*O8</f>
        <v>0</v>
      </c>
      <c r="M9" s="9">
        <f>M8+Table24283089101314151617181239[[#This Row],[Total Purchase Amount]]-Table24283089101314151617181239[[#This Row],[Principal Cost As per  NFRS (In case of Sales)]]</f>
        <v>0</v>
      </c>
      <c r="N9" s="9">
        <f>N8+Table24283089101314151617181239[[#This Row],[Purchase QTY]]-Table24283089101314151617181239[[#This Row],[Sales Qty]]</f>
        <v>0</v>
      </c>
      <c r="O9" s="42">
        <f>IFERROR(Table24283089101314151617181239[[#This Row],[TC AP NFRS]]/Table24283089101314151617181239[[#This Row],[Unit Sum]],0)</f>
        <v>0</v>
      </c>
      <c r="P9" s="10">
        <f>Table24283089101314151617181239[[#This Row],[Sales Amt]]-Table24283089101314151617181239[[#This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0</v>
      </c>
      <c r="AC9" s="20">
        <f t="shared" ref="AC9:AC17" si="6">IFERROR(AB9/N9,0)</f>
        <v>0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IF(Table24283089101314151617181239[[#This Row],[SPPU]]&gt;=0,0,Table24283089101314151617181239[[#This Row],[Total Purchase Amount]]/Table24283089101314151617181239[[#This Row],[Purchase QTY]])</f>
        <v>0</v>
      </c>
      <c r="H10" s="9"/>
      <c r="I10" s="9">
        <v>0</v>
      </c>
      <c r="J10" s="9">
        <f>IFERROR(Table24283089101314151617181239[[#This Row],[Sales Amt]]/Table24283089101314151617181239[[#This Row],[Sales Qty]],0)</f>
        <v>0</v>
      </c>
      <c r="K10" s="9">
        <v>0</v>
      </c>
      <c r="L10" s="9">
        <f>Table24283089101314151617181239[[#This Row],[Sales Qty]]*O9</f>
        <v>0</v>
      </c>
      <c r="M10" s="9">
        <f>M9+Table24283089101314151617181239[[#This Row],[Total Purchase Amount]]-Table24283089101314151617181239[[#This Row],[Principal Cost As per  NFRS (In case of Sales)]]</f>
        <v>0</v>
      </c>
      <c r="N10" s="9">
        <f>N9+Table24283089101314151617181239[[#This Row],[Purchase QTY]]-Table24283089101314151617181239[[#This Row],[Sales Qty]]</f>
        <v>0</v>
      </c>
      <c r="O10" s="42">
        <f>IFERROR(Table24283089101314151617181239[[#This Row],[TC AP NFRS]]/Table24283089101314151617181239[[#This Row],[Unit Sum]],0)</f>
        <v>0</v>
      </c>
      <c r="P10" s="10">
        <f>Table24283089101314151617181239[[#This Row],[Sales Amt]]-Table24283089101314151617181239[[#This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0</v>
      </c>
      <c r="AC10" s="20">
        <f t="shared" si="6"/>
        <v>0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IF(Table24283089101314151617181239[[#This Row],[SPPU]]&gt;=0,0,Table24283089101314151617181239[[#This Row],[Total Purchase Amount]]/Table24283089101314151617181239[[#This Row],[Purchase QTY]])</f>
        <v>#DIV/0!</v>
      </c>
      <c r="H11" s="9"/>
      <c r="I11" s="9">
        <v>0</v>
      </c>
      <c r="J11" s="9" t="e">
        <f>Table24283089101314151617181239[[#This Row],[Sales Amt]]/Table24283089101314151617181239[[#This Row],[Sales Qty]]</f>
        <v>#DIV/0!</v>
      </c>
      <c r="K11" s="9">
        <v>0</v>
      </c>
      <c r="L11" s="9">
        <f>Table24283089101314151617181239[[#This Row],[Sales Qty]]*O10</f>
        <v>0</v>
      </c>
      <c r="M11" s="9">
        <f>M10+Table24283089101314151617181239[[#This Row],[Total Purchase Amount]]-Table24283089101314151617181239[[#This Row],[Principal Cost As per  NFRS (In case of Sales)]]</f>
        <v>0</v>
      </c>
      <c r="N11" s="9">
        <f>N10+Table24283089101314151617181239[[#This Row],[Purchase QTY]]-Table24283089101314151617181239[[#This Row],[Sales Qty]]</f>
        <v>0</v>
      </c>
      <c r="O11" s="42">
        <f>IFERROR(Table24283089101314151617181239[[#This Row],[TC AP NFRS]]/Table24283089101314151617181239[[#This Row],[Unit Sum]],0)</f>
        <v>0</v>
      </c>
      <c r="P11" s="10">
        <f>Table24283089101314151617181239[[#This Row],[Sales Amt]]-Table24283089101314151617181239[[#This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0</v>
      </c>
      <c r="AC11" s="20">
        <f t="shared" si="6"/>
        <v>0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Table24283089101314151617181239[[#This Row],[Total Purchase Amount]]/Table24283089101314151617181239[[#This Row],[Purchase QTY]]</f>
        <v>#DIV/0!</v>
      </c>
      <c r="H12" s="9">
        <v>0</v>
      </c>
      <c r="I12" s="9">
        <v>0</v>
      </c>
      <c r="J12" s="9">
        <f ca="1">IFERROR(Table24283089101314151617181239[[#This Row],[Sales Amt]]/Table24283089101314151617181239[[#This Row],[Sales Qty]],0)</f>
        <v>0</v>
      </c>
      <c r="K12" s="9">
        <f ca="1">Table24283089101314151617181239[[#This Row],[Sales Qty]]*Table24283089101314151617181239[[#This Row],[SPPU]]</f>
        <v>0</v>
      </c>
      <c r="L12" s="9">
        <f>Table24283089101314151617181239[[#This Row],[Sales Qty]]*O11</f>
        <v>0</v>
      </c>
      <c r="M12" s="9">
        <f>M11+Table24283089101314151617181239[[#This Row],[Total Purchase Amount]]-Table24283089101314151617181239[[#This Row],[Principal Cost As per  NFRS (In case of Sales)]]</f>
        <v>0</v>
      </c>
      <c r="N12" s="9">
        <f>N11+Table24283089101314151617181239[[#This Row],[Purchase QTY]]-Table24283089101314151617181239[[#This Row],[Sales Qty]]</f>
        <v>0</v>
      </c>
      <c r="O12" s="42">
        <f>IFERROR(Table24283089101314151617181239[[#This Row],[TC AP NFRS]]/Table24283089101314151617181239[[#This Row],[Unit Sum]],0)</f>
        <v>0</v>
      </c>
      <c r="P12" s="10">
        <f ca="1">Table24283089101314151617181239[[#This Row],[Sales Amt]]-Table24283089101314151617181239[[#This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0</v>
      </c>
      <c r="AC12" s="20">
        <f t="shared" si="6"/>
        <v>0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Table24283089101314151617181239[[#This Row],[Total Purchase Amount]]/Table24283089101314151617181239[[#This Row],[Purchase QTY]]</f>
        <v>#DIV/0!</v>
      </c>
      <c r="H13" s="9">
        <v>0</v>
      </c>
      <c r="I13" s="9">
        <v>0</v>
      </c>
      <c r="J13" s="9">
        <f ca="1">IFERROR(Table24283089101314151617181239[[#This Row],[Sales Amt]]/Table24283089101314151617181239[[#This Row],[Sales Qty]],0)</f>
        <v>0</v>
      </c>
      <c r="K13" s="9">
        <f ca="1">Table24283089101314151617181239[[#This Row],[Sales Qty]]*Table24283089101314151617181239[[#This Row],[SPPU]]</f>
        <v>0</v>
      </c>
      <c r="L13" s="9">
        <f>Table24283089101314151617181239[[#This Row],[Sales Qty]]*O12</f>
        <v>0</v>
      </c>
      <c r="M13" s="9">
        <f>M12+Table24283089101314151617181239[[#This Row],[Total Purchase Amount]]-Table24283089101314151617181239[[#This Row],[Principal Cost As per  NFRS (In case of Sales)]]</f>
        <v>0</v>
      </c>
      <c r="N13" s="9">
        <f>N12+Table24283089101314151617181239[[#This Row],[Purchase QTY]]-Table24283089101314151617181239[[#This Row],[Sales Qty]]</f>
        <v>0</v>
      </c>
      <c r="O13" s="42">
        <f>IFERROR(Table24283089101314151617181239[[#This Row],[TC AP NFRS]]/Table24283089101314151617181239[[#This Row],[Unit Sum]],0)</f>
        <v>0</v>
      </c>
      <c r="P13" s="10">
        <f ca="1">Table24283089101314151617181239[[#This Row],[Sales Amt]]-Table24283089101314151617181239[[#This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0</v>
      </c>
      <c r="AC13" s="20">
        <f t="shared" si="6"/>
        <v>0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IF(Table24283089101314151617181239[[#This Row],[SPPU]]&gt;=0,0,Table24283089101314151617181239[[#This Row],[Total Purchase Amount]]/Table24283089101314151617181239[[#This Row],[Purchase QTY]])</f>
        <v>0</v>
      </c>
      <c r="H14" s="9"/>
      <c r="I14" s="9">
        <v>0</v>
      </c>
      <c r="J14" s="9">
        <f>IFERROR(Table24283089101314151617181239[[#This Row],[Sales Amt]]/Table24283089101314151617181239[[#This Row],[Sales Qty]],0)</f>
        <v>0</v>
      </c>
      <c r="K14" s="9">
        <v>0</v>
      </c>
      <c r="L14" s="9">
        <f>Table24283089101314151617181239[[#This Row],[Sales Qty]]*O12</f>
        <v>0</v>
      </c>
      <c r="M14" s="9">
        <f>M13+Table24283089101314151617181239[[#This Row],[Total Purchase Amount]]-Table24283089101314151617181239[[#This Row],[Principal Cost As per  NFRS (In case of Sales)]]</f>
        <v>0</v>
      </c>
      <c r="N14" s="9">
        <f>N13+Table24283089101314151617181239[[#This Row],[Purchase QTY]]-Table24283089101314151617181239[[#This Row],[Sales Qty]]</f>
        <v>0</v>
      </c>
      <c r="O14" s="42">
        <f>IFERROR(Table24283089101314151617181239[[#This Row],[TC AP NFRS]]/Table24283089101314151617181239[[#This Row],[Unit Sum]],0)</f>
        <v>0</v>
      </c>
      <c r="P14" s="10">
        <f>Table24283089101314151617181239[[#This Row],[Sales Amt]]-Table24283089101314151617181239[[#This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0</v>
      </c>
      <c r="AC14" s="20">
        <f t="shared" si="6"/>
        <v>0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IF(Table24283089101314151617181239[[#This Row],[SPPU]]&gt;=0,0,Table24283089101314151617181239[[#This Row],[Total Purchase Amount]]/Table24283089101314151617181239[[#This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Table24283089101314151617181239[[#This Row],[Sales Qty]]*O14</f>
        <v>0</v>
      </c>
      <c r="M15" s="9">
        <f>M14+Table24283089101314151617181239[[#This Row],[Total Purchase Amount]]-Table24283089101314151617181239[[#This Row],[Principal Cost As per  NFRS (In case of Sales)]]</f>
        <v>0</v>
      </c>
      <c r="N15" s="9">
        <f>N14+Table24283089101314151617181239[[#This Row],[Purchase QTY]]-Table24283089101314151617181239[[#This Row],[Sales Qty]]</f>
        <v>0</v>
      </c>
      <c r="O15" s="42">
        <f>IFERROR(Table24283089101314151617181239[[#This Row],[TC AP NFRS]]/Table24283089101314151617181239[[#This Row],[Unit Sum]],0)</f>
        <v>0</v>
      </c>
      <c r="P15" s="10">
        <f>Table24283089101314151617181239[[#This Row],[Sales Amt]]-Table24283089101314151617181239[[#This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0</v>
      </c>
      <c r="AC15" s="20">
        <f t="shared" si="6"/>
        <v>0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IF(Table24283089101314151617181239[[#This Row],[SPPU]]&gt;=0,0,Table24283089101314151617181239[[#This Row],[Total Purchase Amount]]/Table24283089101314151617181239[[#This Row],[Purchase QTY]])</f>
        <v>#DIV/0!</v>
      </c>
      <c r="H16" s="9"/>
      <c r="I16" s="9">
        <v>0</v>
      </c>
      <c r="J16" s="9" t="e">
        <f>Table24283089101314151617181239[[#This Row],[Sales Amt]]/Table24283089101314151617181239[[#This Row],[Sales Qty]]</f>
        <v>#DIV/0!</v>
      </c>
      <c r="K16" s="9">
        <v>0</v>
      </c>
      <c r="L16" s="9">
        <f>Table24283089101314151617181239[[#This Row],[Sales Qty]]*O15</f>
        <v>0</v>
      </c>
      <c r="M16" s="9">
        <f>M15+Table24283089101314151617181239[[#This Row],[Total Purchase Amount]]-Table24283089101314151617181239[[#This Row],[Principal Cost As per  NFRS (In case of Sales)]]</f>
        <v>0</v>
      </c>
      <c r="N16" s="9">
        <f>N15+Table24283089101314151617181239[[#This Row],[Purchase QTY]]-Table24283089101314151617181239[[#This Row],[Sales Qty]]</f>
        <v>0</v>
      </c>
      <c r="O16" s="42">
        <f>IFERROR(Table24283089101314151617181239[[#This Row],[TC AP NFRS]]/Table24283089101314151617181239[[#This Row],[Unit Sum]],0)</f>
        <v>0</v>
      </c>
      <c r="P16" s="10">
        <f>Table24283089101314151617181239[[#This Row],[Sales Amt]]-Table24283089101314151617181239[[#This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0</v>
      </c>
      <c r="AC16" s="20">
        <f t="shared" si="6"/>
        <v>0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1177</v>
      </c>
      <c r="G17" s="15"/>
      <c r="H17" s="15">
        <f ca="1">SUM(INDIRECT("h4:h"&amp;ROW()-1))</f>
        <v>772229.70000000007</v>
      </c>
      <c r="I17" s="15">
        <f ca="1">SUM(INDIRECT("i4:i"&amp;ROW()-1))</f>
        <v>1177</v>
      </c>
      <c r="J17" s="15">
        <f ca="1">Table24283089101314151617181239[[#This Row],[Sales Amt]]/Table24283089101314151617181239[[#This Row],[Sales Qty]]</f>
        <v>668.72557349192869</v>
      </c>
      <c r="K17" s="15">
        <f>SUBTOTAL(109,K7:K16)</f>
        <v>787090</v>
      </c>
      <c r="L17" s="15">
        <f>SUBTOTAL(109,L7:L16)</f>
        <v>772229.70000000007</v>
      </c>
      <c r="M17" s="15">
        <f ca="1">Table24283089101314151617181239[[#This Row],[Total Purchase Amount]]-Table24283089101314151617181239[[#This Row],[Principal Cost As per  NFRS (In case of Sales)]]</f>
        <v>0</v>
      </c>
      <c r="N17" s="15">
        <f ca="1">Table24283089101314151617181239[[#This Row],[Purchase QTY]]-Table24283089101314151617181239[[#This Row],[Sales Qty]]</f>
        <v>0</v>
      </c>
      <c r="O17" s="43">
        <f ca="1">IFERROR(Table24283089101314151617181239[[#This Row],[TC AP NFRS]]/Table24283089101314151617181239[[#This Row],[Unit Sum]],0)</f>
        <v>0</v>
      </c>
      <c r="P17" s="15">
        <f ca="1">SUM(INDIRECT("p4:p"&amp;ROW()-1))</f>
        <v>14860.29999999993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787401.23</v>
      </c>
      <c r="V17" s="24">
        <f>SUM(V7:V16)</f>
        <v>2724.6800000000003</v>
      </c>
      <c r="W17" s="24">
        <f t="shared" si="9"/>
        <v>25</v>
      </c>
      <c r="X17" s="24">
        <f t="shared" si="9"/>
        <v>2749.6800000000003</v>
      </c>
      <c r="Y17" s="24">
        <f t="shared" si="9"/>
        <v>0</v>
      </c>
      <c r="Z17" s="24">
        <f ca="1">SUM(Z7:Z16)</f>
        <v>784340.32</v>
      </c>
      <c r="AA17" s="24">
        <f t="shared" si="9"/>
        <v>787401.23</v>
      </c>
      <c r="AB17" s="24">
        <f>U17-AA17</f>
        <v>0</v>
      </c>
      <c r="AC17" s="24">
        <f t="shared" ca="1" si="6"/>
        <v>0</v>
      </c>
      <c r="AD17" s="24">
        <f ca="1">SUM(AD7:AD16)</f>
        <v>-3060.9100000000326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173</v>
      </c>
      <c r="C21" s="97"/>
      <c r="D21" s="98">
        <v>45886</v>
      </c>
      <c r="E21" s="99" t="s">
        <v>19</v>
      </c>
      <c r="F21" s="59">
        <v>1177</v>
      </c>
      <c r="G21" s="59"/>
      <c r="H21" s="59">
        <v>772229.70000000007</v>
      </c>
      <c r="I21" s="59">
        <v>1177</v>
      </c>
      <c r="J21" s="59">
        <v>668.72557349192869</v>
      </c>
      <c r="K21" s="59">
        <v>787090</v>
      </c>
      <c r="L21" s="59">
        <v>772229.70000000007</v>
      </c>
      <c r="M21" s="59">
        <v>0</v>
      </c>
      <c r="N21" s="59">
        <v>0</v>
      </c>
      <c r="O21" s="59">
        <v>0</v>
      </c>
      <c r="P21" s="59">
        <v>14860.29999999993</v>
      </c>
      <c r="Q21" s="59"/>
      <c r="R21" s="59">
        <v>0</v>
      </c>
      <c r="S21" s="59">
        <v>0</v>
      </c>
      <c r="T21" s="59">
        <v>0</v>
      </c>
      <c r="U21" s="59">
        <v>787401.23</v>
      </c>
      <c r="V21" s="59">
        <v>2724.6800000000003</v>
      </c>
      <c r="W21" s="59">
        <v>25</v>
      </c>
      <c r="X21" s="59">
        <v>2749.6800000000003</v>
      </c>
      <c r="Y21" s="59">
        <v>0</v>
      </c>
      <c r="Z21" s="59">
        <v>784340.32</v>
      </c>
      <c r="AA21" s="59">
        <v>787401.23</v>
      </c>
      <c r="AB21" s="59">
        <v>0</v>
      </c>
      <c r="AC21" s="59">
        <v>0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5" orientation="landscape" horizontalDpi="300" verticalDpi="300" r:id="rId1"/>
  <colBreaks count="1" manualBreakCount="1">
    <brk id="25" max="1048575" man="1"/>
  </col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66C60C-F3DF-4A08-99EE-E533D36128CE}">
          <x14:formula1>
            <xm:f>VALIDATION!$A$2:$A$7</xm:f>
          </x14:formula1>
          <xm:sqref>E7:E16 E21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CAE4-8CE6-47DB-AAF1-8152F74B15D9}">
  <dimension ref="A1:AE22"/>
  <sheetViews>
    <sheetView zoomScaleNormal="100" workbookViewId="0">
      <selection activeCell="AD20" sqref="A20:AD21"/>
    </sheetView>
  </sheetViews>
  <sheetFormatPr defaultRowHeight="15" x14ac:dyDescent="0.25"/>
  <cols>
    <col min="1" max="1" width="6.57031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1" bestFit="1" customWidth="1"/>
    <col min="7" max="7" width="9" bestFit="1" customWidth="1"/>
    <col min="8" max="8" width="14.85546875" bestFit="1" customWidth="1"/>
    <col min="9" max="9" width="11" bestFit="1" customWidth="1"/>
    <col min="10" max="10" width="9.140625" bestFit="1" customWidth="1"/>
    <col min="11" max="11" width="13.42578125" bestFit="1" customWidth="1"/>
    <col min="12" max="12" width="13.5703125" bestFit="1" customWidth="1"/>
    <col min="13" max="13" width="11.5703125" bestFit="1" customWidth="1"/>
    <col min="14" max="14" width="9.5703125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526</v>
      </c>
      <c r="C7" s="6"/>
      <c r="D7" s="7">
        <v>45855</v>
      </c>
      <c r="E7" s="8" t="s">
        <v>19</v>
      </c>
      <c r="F7" s="9">
        <v>458</v>
      </c>
      <c r="G7" s="9">
        <f>Table2428308910131415161718123942[[#This Row],[Total Purchase Amount]]/Table2428308910131415161718123942[[#This Row],[Purchase QTY]]</f>
        <v>1249.9000000000001</v>
      </c>
      <c r="H7" s="9">
        <v>572454.20000000007</v>
      </c>
      <c r="I7" s="9"/>
      <c r="J7" s="9"/>
      <c r="K7" s="9"/>
      <c r="L7" s="9"/>
      <c r="M7" s="9">
        <f>Table2428308910131415161718123942[[#This Row],[Total Purchase Amount]]</f>
        <v>572454.20000000007</v>
      </c>
      <c r="N7" s="9">
        <f>IF(Table2428308910131415161718123942[[#This Row],[Txn Type]]="opening",Table2428308910131415161718123942[[#This Row],[Purchase QTY]],"Error")</f>
        <v>458</v>
      </c>
      <c r="O7" s="42">
        <f>IFERROR(Table2428308910131415161718123942[[#This Row],[TC AP NFRS]]/Table2428308910131415161718123942[[#This Row],[Unit Sum]],0)</f>
        <v>1249.9000000000001</v>
      </c>
      <c r="P7" s="10">
        <f>Table2428308910131415161718123942[[#This Row],[Sales Amt]]-Table2428308910131415161718123942[[#This Row],[Principal Cost As per  NFRS (In case of Sales)]]</f>
        <v>0</v>
      </c>
      <c r="R7" s="17"/>
      <c r="S7" s="17"/>
      <c r="T7" s="20">
        <f>R7+S7</f>
        <v>0</v>
      </c>
      <c r="U7" s="20">
        <f>AB7</f>
        <v>478014.32519999996</v>
      </c>
      <c r="V7" s="20"/>
      <c r="W7" s="20"/>
      <c r="X7" s="20"/>
      <c r="Y7" s="46"/>
      <c r="Z7" s="46"/>
      <c r="AA7" s="46"/>
      <c r="AB7" s="46">
        <f>F7*AC7</f>
        <v>478014.32519999996</v>
      </c>
      <c r="AC7" s="46">
        <v>1043.6994</v>
      </c>
      <c r="AD7" s="56"/>
    </row>
    <row r="8" spans="1:31" x14ac:dyDescent="0.25">
      <c r="A8" s="5">
        <f>A7+1</f>
        <v>2</v>
      </c>
      <c r="B8" s="6" t="s">
        <v>526</v>
      </c>
      <c r="C8" s="6"/>
      <c r="D8" s="7"/>
      <c r="E8" s="8"/>
      <c r="F8" s="9">
        <v>0</v>
      </c>
      <c r="G8" s="9">
        <f>IFERROR(Table2428308910131415161718123942[[#This Row],[Total Purchase Amount]]/Table2428308910131415161718123942[[#This Row],[Purchase QTY]],0)</f>
        <v>0</v>
      </c>
      <c r="H8" s="9">
        <v>0</v>
      </c>
      <c r="I8" s="9">
        <v>0</v>
      </c>
      <c r="J8" s="9" t="e">
        <f>Table2428308910131415161718123942[[#This Row],[Sales Amt]]/Table2428308910131415161718123942[[#This Row],[Sales Qty]]</f>
        <v>#DIV/0!</v>
      </c>
      <c r="K8" s="9">
        <v>0</v>
      </c>
      <c r="L8" s="9">
        <f>Table2428308910131415161718123942[[#This Row],[Sales Qty]]*O7</f>
        <v>0</v>
      </c>
      <c r="M8" s="9">
        <f>M7+Table2428308910131415161718123942[[#This Row],[Total Purchase Amount]]-Table2428308910131415161718123942[[#This Row],[Principal Cost As per  NFRS (In case of Sales)]]</f>
        <v>572454.20000000007</v>
      </c>
      <c r="N8" s="9">
        <f>N7+Table2428308910131415161718123942[[#This Row],[Purchase QTY]]-Table2428308910131415161718123942[[#This Row],[Sales Qty]]</f>
        <v>458</v>
      </c>
      <c r="O8" s="42">
        <f>IFERROR(Table2428308910131415161718123942[[#This Row],[TC AP NFRS]]/Table2428308910131415161718123942[[#This Row],[Unit Sum]],0)</f>
        <v>1249.9000000000001</v>
      </c>
      <c r="P8" s="10">
        <f>Table2428308910131415161718123942[[#This Row],[Sales Amt]]-Table2428308910131415161718123942[[#This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478014.32519999996</v>
      </c>
      <c r="AC8" s="20">
        <f>IFERROR(AB8/N8,0)</f>
        <v>1043.6994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IF(Table2428308910131415161718123942[[#This Row],[SPPU]]&gt;=0,0,Table2428308910131415161718123942[[#This Row],[Total Purchase Amount]]/Table2428308910131415161718123942[[#This Row],[Purchase QTY]])</f>
        <v>0</v>
      </c>
      <c r="H9" s="9">
        <v>0</v>
      </c>
      <c r="I9" s="9">
        <v>0</v>
      </c>
      <c r="J9" s="9">
        <f>IFERROR(Table2428308910131415161718123942[[#This Row],[Sales Amt]]/Table2428308910131415161718123942[[#This Row],[Sales Qty]],0)</f>
        <v>0</v>
      </c>
      <c r="K9" s="9">
        <v>0</v>
      </c>
      <c r="L9" s="9">
        <f>Table2428308910131415161718123942[[#This Row],[Sales Qty]]*O8</f>
        <v>0</v>
      </c>
      <c r="M9" s="9">
        <f>M8+Table2428308910131415161718123942[[#This Row],[Total Purchase Amount]]-Table2428308910131415161718123942[[#This Row],[Principal Cost As per  NFRS (In case of Sales)]]</f>
        <v>572454.20000000007</v>
      </c>
      <c r="N9" s="9">
        <f>N8+Table2428308910131415161718123942[[#This Row],[Purchase QTY]]-Table2428308910131415161718123942[[#This Row],[Sales Qty]]</f>
        <v>458</v>
      </c>
      <c r="O9" s="42">
        <f>IFERROR(Table2428308910131415161718123942[[#This Row],[TC AP NFRS]]/Table2428308910131415161718123942[[#This Row],[Unit Sum]],0)</f>
        <v>1249.9000000000001</v>
      </c>
      <c r="P9" s="10">
        <f>Table2428308910131415161718123942[[#This Row],[Sales Amt]]-Table2428308910131415161718123942[[#This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478014.32519999996</v>
      </c>
      <c r="AC9" s="20">
        <f t="shared" ref="AC9:AC17" si="6">IFERROR(AB9/N9,0)</f>
        <v>1043.6994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IF(Table2428308910131415161718123942[[#This Row],[SPPU]]&gt;=0,0,Table2428308910131415161718123942[[#This Row],[Total Purchase Amount]]/Table2428308910131415161718123942[[#This Row],[Purchase QTY]])</f>
        <v>0</v>
      </c>
      <c r="H10" s="9"/>
      <c r="I10" s="9">
        <v>0</v>
      </c>
      <c r="J10" s="9">
        <f>IFERROR(Table2428308910131415161718123942[[#This Row],[Sales Amt]]/Table2428308910131415161718123942[[#This Row],[Sales Qty]],0)</f>
        <v>0</v>
      </c>
      <c r="K10" s="9">
        <v>0</v>
      </c>
      <c r="L10" s="9">
        <f>Table2428308910131415161718123942[[#This Row],[Sales Qty]]*O9</f>
        <v>0</v>
      </c>
      <c r="M10" s="9">
        <f>M9+Table2428308910131415161718123942[[#This Row],[Total Purchase Amount]]-Table2428308910131415161718123942[[#This Row],[Principal Cost As per  NFRS (In case of Sales)]]</f>
        <v>572454.20000000007</v>
      </c>
      <c r="N10" s="9">
        <f>N9+Table2428308910131415161718123942[[#This Row],[Purchase QTY]]-Table2428308910131415161718123942[[#This Row],[Sales Qty]]</f>
        <v>458</v>
      </c>
      <c r="O10" s="42">
        <f>IFERROR(Table2428308910131415161718123942[[#This Row],[TC AP NFRS]]/Table2428308910131415161718123942[[#This Row],[Unit Sum]],0)</f>
        <v>1249.9000000000001</v>
      </c>
      <c r="P10" s="10">
        <f>Table2428308910131415161718123942[[#This Row],[Sales Amt]]-Table2428308910131415161718123942[[#This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478014.32519999996</v>
      </c>
      <c r="AC10" s="20">
        <f t="shared" si="6"/>
        <v>1043.6994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IF(Table2428308910131415161718123942[[#This Row],[SPPU]]&gt;=0,0,Table2428308910131415161718123942[[#This Row],[Total Purchase Amount]]/Table2428308910131415161718123942[[#This Row],[Purchase QTY]])</f>
        <v>#DIV/0!</v>
      </c>
      <c r="H11" s="9"/>
      <c r="I11" s="9">
        <v>0</v>
      </c>
      <c r="J11" s="9" t="e">
        <f>Table2428308910131415161718123942[[#This Row],[Sales Amt]]/Table2428308910131415161718123942[[#This Row],[Sales Qty]]</f>
        <v>#DIV/0!</v>
      </c>
      <c r="K11" s="9">
        <v>0</v>
      </c>
      <c r="L11" s="9">
        <f>Table2428308910131415161718123942[[#This Row],[Sales Qty]]*O10</f>
        <v>0</v>
      </c>
      <c r="M11" s="9">
        <f>M10+Table2428308910131415161718123942[[#This Row],[Total Purchase Amount]]-Table2428308910131415161718123942[[#This Row],[Principal Cost As per  NFRS (In case of Sales)]]</f>
        <v>572454.20000000007</v>
      </c>
      <c r="N11" s="9">
        <f>N10+Table2428308910131415161718123942[[#This Row],[Purchase QTY]]-Table2428308910131415161718123942[[#This Row],[Sales Qty]]</f>
        <v>458</v>
      </c>
      <c r="O11" s="42">
        <f>IFERROR(Table2428308910131415161718123942[[#This Row],[TC AP NFRS]]/Table2428308910131415161718123942[[#This Row],[Unit Sum]],0)</f>
        <v>1249.9000000000001</v>
      </c>
      <c r="P11" s="10">
        <f>Table2428308910131415161718123942[[#This Row],[Sales Amt]]-Table2428308910131415161718123942[[#This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478014.32519999996</v>
      </c>
      <c r="AC11" s="20">
        <f t="shared" si="6"/>
        <v>1043.6994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Table2428308910131415161718123942[[#This Row],[Total Purchase Amount]]/Table2428308910131415161718123942[[#This Row],[Purchase QTY]]</f>
        <v>#DIV/0!</v>
      </c>
      <c r="H12" s="9">
        <v>0</v>
      </c>
      <c r="I12" s="9">
        <v>0</v>
      </c>
      <c r="J12" s="9">
        <f ca="1">IFERROR(Table2428308910131415161718123942[[#This Row],[Sales Amt]]/Table2428308910131415161718123942[[#This Row],[Sales Qty]],0)</f>
        <v>0</v>
      </c>
      <c r="K12" s="9">
        <f ca="1">Table2428308910131415161718123942[[#This Row],[Sales Qty]]*Table2428308910131415161718123942[[#This Row],[SPPU]]</f>
        <v>0</v>
      </c>
      <c r="L12" s="9">
        <f>Table2428308910131415161718123942[[#This Row],[Sales Qty]]*O11</f>
        <v>0</v>
      </c>
      <c r="M12" s="9">
        <f>M11+Table2428308910131415161718123942[[#This Row],[Total Purchase Amount]]-Table2428308910131415161718123942[[#This Row],[Principal Cost As per  NFRS (In case of Sales)]]</f>
        <v>572454.20000000007</v>
      </c>
      <c r="N12" s="9">
        <f>N11+Table2428308910131415161718123942[[#This Row],[Purchase QTY]]-Table2428308910131415161718123942[[#This Row],[Sales Qty]]</f>
        <v>458</v>
      </c>
      <c r="O12" s="42">
        <f>IFERROR(Table2428308910131415161718123942[[#This Row],[TC AP NFRS]]/Table2428308910131415161718123942[[#This Row],[Unit Sum]],0)</f>
        <v>1249.9000000000001</v>
      </c>
      <c r="P12" s="10">
        <f ca="1">Table2428308910131415161718123942[[#This Row],[Sales Amt]]-Table2428308910131415161718123942[[#This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478014.32519999996</v>
      </c>
      <c r="AC12" s="20">
        <f t="shared" si="6"/>
        <v>1043.6994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Table2428308910131415161718123942[[#This Row],[Total Purchase Amount]]/Table2428308910131415161718123942[[#This Row],[Purchase QTY]]</f>
        <v>#DIV/0!</v>
      </c>
      <c r="H13" s="9">
        <v>0</v>
      </c>
      <c r="I13" s="9">
        <v>0</v>
      </c>
      <c r="J13" s="9">
        <f ca="1">IFERROR(Table2428308910131415161718123942[[#This Row],[Sales Amt]]/Table2428308910131415161718123942[[#This Row],[Sales Qty]],0)</f>
        <v>0</v>
      </c>
      <c r="K13" s="9">
        <f ca="1">Table2428308910131415161718123942[[#This Row],[Sales Qty]]*Table2428308910131415161718123942[[#This Row],[SPPU]]</f>
        <v>0</v>
      </c>
      <c r="L13" s="9">
        <f>Table2428308910131415161718123942[[#This Row],[Sales Qty]]*O12</f>
        <v>0</v>
      </c>
      <c r="M13" s="9">
        <f>M12+Table2428308910131415161718123942[[#This Row],[Total Purchase Amount]]-Table2428308910131415161718123942[[#This Row],[Principal Cost As per  NFRS (In case of Sales)]]</f>
        <v>572454.20000000007</v>
      </c>
      <c r="N13" s="9">
        <f>N12+Table2428308910131415161718123942[[#This Row],[Purchase QTY]]-Table2428308910131415161718123942[[#This Row],[Sales Qty]]</f>
        <v>458</v>
      </c>
      <c r="O13" s="42">
        <f>IFERROR(Table2428308910131415161718123942[[#This Row],[TC AP NFRS]]/Table2428308910131415161718123942[[#This Row],[Unit Sum]],0)</f>
        <v>1249.9000000000001</v>
      </c>
      <c r="P13" s="10">
        <f ca="1">Table2428308910131415161718123942[[#This Row],[Sales Amt]]-Table2428308910131415161718123942[[#This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478014.32519999996</v>
      </c>
      <c r="AC13" s="20">
        <f t="shared" si="6"/>
        <v>1043.6994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IF(Table2428308910131415161718123942[[#This Row],[SPPU]]&gt;=0,0,Table2428308910131415161718123942[[#This Row],[Total Purchase Amount]]/Table2428308910131415161718123942[[#This Row],[Purchase QTY]])</f>
        <v>0</v>
      </c>
      <c r="H14" s="9"/>
      <c r="I14" s="9">
        <v>0</v>
      </c>
      <c r="J14" s="9">
        <f>IFERROR(Table2428308910131415161718123942[[#This Row],[Sales Amt]]/Table2428308910131415161718123942[[#This Row],[Sales Qty]],0)</f>
        <v>0</v>
      </c>
      <c r="K14" s="9">
        <v>0</v>
      </c>
      <c r="L14" s="9">
        <f>Table2428308910131415161718123942[[#This Row],[Sales Qty]]*O12</f>
        <v>0</v>
      </c>
      <c r="M14" s="9">
        <f>M13+Table2428308910131415161718123942[[#This Row],[Total Purchase Amount]]-Table2428308910131415161718123942[[#This Row],[Principal Cost As per  NFRS (In case of Sales)]]</f>
        <v>572454.20000000007</v>
      </c>
      <c r="N14" s="9">
        <f>N13+Table2428308910131415161718123942[[#This Row],[Purchase QTY]]-Table2428308910131415161718123942[[#This Row],[Sales Qty]]</f>
        <v>458</v>
      </c>
      <c r="O14" s="42">
        <f>IFERROR(Table2428308910131415161718123942[[#This Row],[TC AP NFRS]]/Table2428308910131415161718123942[[#This Row],[Unit Sum]],0)</f>
        <v>1249.9000000000001</v>
      </c>
      <c r="P14" s="10">
        <f>Table2428308910131415161718123942[[#This Row],[Sales Amt]]-Table2428308910131415161718123942[[#This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478014.32519999996</v>
      </c>
      <c r="AC14" s="20">
        <f t="shared" si="6"/>
        <v>1043.6994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IF(Table2428308910131415161718123942[[#This Row],[SPPU]]&gt;=0,0,Table2428308910131415161718123942[[#This Row],[Total Purchase Amount]]/Table2428308910131415161718123942[[#This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Table2428308910131415161718123942[[#This Row],[Sales Qty]]*O14</f>
        <v>0</v>
      </c>
      <c r="M15" s="9">
        <f>M14+Table2428308910131415161718123942[[#This Row],[Total Purchase Amount]]-Table2428308910131415161718123942[[#This Row],[Principal Cost As per  NFRS (In case of Sales)]]</f>
        <v>572454.20000000007</v>
      </c>
      <c r="N15" s="9">
        <f>N14+Table2428308910131415161718123942[[#This Row],[Purchase QTY]]-Table2428308910131415161718123942[[#This Row],[Sales Qty]]</f>
        <v>458</v>
      </c>
      <c r="O15" s="42">
        <f>IFERROR(Table2428308910131415161718123942[[#This Row],[TC AP NFRS]]/Table2428308910131415161718123942[[#This Row],[Unit Sum]],0)</f>
        <v>1249.9000000000001</v>
      </c>
      <c r="P15" s="10">
        <f>Table2428308910131415161718123942[[#This Row],[Sales Amt]]-Table2428308910131415161718123942[[#This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478014.32519999996</v>
      </c>
      <c r="AC15" s="20">
        <f t="shared" si="6"/>
        <v>1043.6994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IF(Table2428308910131415161718123942[[#This Row],[SPPU]]&gt;=0,0,Table2428308910131415161718123942[[#This Row],[Total Purchase Amount]]/Table2428308910131415161718123942[[#This Row],[Purchase QTY]])</f>
        <v>#DIV/0!</v>
      </c>
      <c r="H16" s="9"/>
      <c r="I16" s="9">
        <v>0</v>
      </c>
      <c r="J16" s="9" t="e">
        <f>Table2428308910131415161718123942[[#This Row],[Sales Amt]]/Table2428308910131415161718123942[[#This Row],[Sales Qty]]</f>
        <v>#DIV/0!</v>
      </c>
      <c r="K16" s="9">
        <v>0</v>
      </c>
      <c r="L16" s="9">
        <f>Table2428308910131415161718123942[[#This Row],[Sales Qty]]*O15</f>
        <v>0</v>
      </c>
      <c r="M16" s="9">
        <f>M15+Table2428308910131415161718123942[[#This Row],[Total Purchase Amount]]-Table2428308910131415161718123942[[#This Row],[Principal Cost As per  NFRS (In case of Sales)]]</f>
        <v>572454.20000000007</v>
      </c>
      <c r="N16" s="9">
        <f>N15+Table2428308910131415161718123942[[#This Row],[Purchase QTY]]-Table2428308910131415161718123942[[#This Row],[Sales Qty]]</f>
        <v>458</v>
      </c>
      <c r="O16" s="42">
        <f>IFERROR(Table2428308910131415161718123942[[#This Row],[TC AP NFRS]]/Table2428308910131415161718123942[[#This Row],[Unit Sum]],0)</f>
        <v>1249.9000000000001</v>
      </c>
      <c r="P16" s="10">
        <f>Table2428308910131415161718123942[[#This Row],[Sales Amt]]-Table2428308910131415161718123942[[#This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478014.32519999996</v>
      </c>
      <c r="AC16" s="20">
        <f t="shared" si="6"/>
        <v>1043.6994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458</v>
      </c>
      <c r="G17" s="15"/>
      <c r="H17" s="15">
        <f ca="1">SUM(INDIRECT("h4:h"&amp;ROW()-1))</f>
        <v>572454.20000000007</v>
      </c>
      <c r="I17" s="15">
        <f ca="1">SUM(INDIRECT("i4:i"&amp;ROW()-1))</f>
        <v>0</v>
      </c>
      <c r="J17" s="15" t="e">
        <f ca="1">Table2428308910131415161718123942[[#This Row],[Sales Amt]]/Table2428308910131415161718123942[[#This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Table2428308910131415161718123942[[#This Row],[Total Purchase Amount]]-Table2428308910131415161718123942[[#This Row],[Principal Cost As per  NFRS (In case of Sales)]]</f>
        <v>572454.20000000007</v>
      </c>
      <c r="N17" s="15">
        <f ca="1">Table2428308910131415161718123942[[#This Row],[Purchase QTY]]-Table2428308910131415161718123942[[#This Row],[Sales Qty]]</f>
        <v>458</v>
      </c>
      <c r="O17" s="43">
        <f ca="1">IFERROR(Table2428308910131415161718123942[[#This Row],[TC AP NFRS]]/Table2428308910131415161718123942[[#This Row],[Unit Sum]],0)</f>
        <v>1249.9000000000001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478014.32519999996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478014.32519999996</v>
      </c>
      <c r="AC17" s="24">
        <f t="shared" ca="1" si="6"/>
        <v>1043.6994</v>
      </c>
      <c r="AD17" s="24">
        <f ca="1">SUM(AD7:AD16)</f>
        <v>0</v>
      </c>
    </row>
    <row r="20" spans="1:30" x14ac:dyDescent="0.25">
      <c r="A20" t="s">
        <v>882</v>
      </c>
      <c r="R20" s="120" t="s">
        <v>20</v>
      </c>
      <c r="S20" s="121"/>
      <c r="T20" s="121"/>
      <c r="U20" s="50"/>
      <c r="V20" s="120" t="s">
        <v>67</v>
      </c>
      <c r="W20" s="121"/>
      <c r="X20" s="121"/>
      <c r="Y20" s="123" t="s">
        <v>13</v>
      </c>
      <c r="Z20" s="124" t="s">
        <v>10</v>
      </c>
      <c r="AA20" s="125" t="s">
        <v>66</v>
      </c>
      <c r="AB20" s="123" t="s">
        <v>15</v>
      </c>
      <c r="AC20" s="123" t="s">
        <v>18</v>
      </c>
      <c r="AD20" s="123" t="s">
        <v>12</v>
      </c>
    </row>
    <row r="21" spans="1:30" ht="75" x14ac:dyDescent="0.25">
      <c r="A21" s="1" t="s">
        <v>57</v>
      </c>
      <c r="B21" s="2" t="s">
        <v>0</v>
      </c>
      <c r="C21" s="2" t="s">
        <v>53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51</v>
      </c>
      <c r="I21" s="2" t="s">
        <v>6</v>
      </c>
      <c r="J21" s="16" t="s">
        <v>7</v>
      </c>
      <c r="K21" s="16" t="s">
        <v>8</v>
      </c>
      <c r="L21" s="2" t="s">
        <v>50</v>
      </c>
      <c r="M21" s="2" t="s">
        <v>14</v>
      </c>
      <c r="N21" s="2" t="s">
        <v>16</v>
      </c>
      <c r="O21" s="4" t="s">
        <v>17</v>
      </c>
      <c r="P21" s="3" t="s">
        <v>11</v>
      </c>
      <c r="R21" s="2" t="s">
        <v>65</v>
      </c>
      <c r="S21" s="2" t="s">
        <v>62</v>
      </c>
      <c r="T21" s="2" t="s">
        <v>5</v>
      </c>
      <c r="U21" s="2" t="s">
        <v>164</v>
      </c>
      <c r="V21" s="16" t="s">
        <v>64</v>
      </c>
      <c r="W21" s="16" t="s">
        <v>62</v>
      </c>
      <c r="X21" s="45" t="s">
        <v>9</v>
      </c>
      <c r="Y21" s="123"/>
      <c r="Z21" s="124"/>
      <c r="AA21" s="125"/>
      <c r="AB21" s="123"/>
      <c r="AC21" s="123"/>
      <c r="AD21" s="123"/>
    </row>
    <row r="22" spans="1:30" x14ac:dyDescent="0.25">
      <c r="A22" s="96">
        <v>1</v>
      </c>
      <c r="B22" s="97" t="s">
        <v>526</v>
      </c>
      <c r="C22" s="97"/>
      <c r="D22" s="98">
        <v>45886</v>
      </c>
      <c r="E22" s="99" t="s">
        <v>19</v>
      </c>
      <c r="F22" s="59">
        <v>458</v>
      </c>
      <c r="G22" s="59"/>
      <c r="H22" s="59">
        <v>572454.20000000007</v>
      </c>
      <c r="I22" s="59"/>
      <c r="J22" s="59"/>
      <c r="K22" s="59"/>
      <c r="L22" s="59"/>
      <c r="M22" s="59">
        <v>572454.20000000007</v>
      </c>
      <c r="N22" s="59">
        <v>458</v>
      </c>
      <c r="O22" s="59">
        <v>1249.9000000000001</v>
      </c>
      <c r="P22" s="59"/>
      <c r="Q22" s="59"/>
      <c r="R22" s="59"/>
      <c r="S22" s="59"/>
      <c r="T22" s="59"/>
      <c r="U22" s="59">
        <v>478014.32519999996</v>
      </c>
      <c r="V22" s="59"/>
      <c r="W22" s="59"/>
      <c r="X22" s="59"/>
      <c r="Y22" s="59"/>
      <c r="Z22" s="59"/>
      <c r="AA22" s="59"/>
      <c r="AB22" s="59">
        <v>478014.32519999996</v>
      </c>
      <c r="AC22" s="59">
        <v>1043.6994</v>
      </c>
      <c r="AD22" s="59"/>
    </row>
  </sheetData>
  <mergeCells count="16">
    <mergeCell ref="R20:T20"/>
    <mergeCell ref="V20:X20"/>
    <mergeCell ref="Y20:Y21"/>
    <mergeCell ref="Z20:Z21"/>
    <mergeCell ref="AA20:AA21"/>
    <mergeCell ref="AB20:AB21"/>
    <mergeCell ref="AC20:AC21"/>
    <mergeCell ref="AD20:AD21"/>
    <mergeCell ref="AC5:AC6"/>
    <mergeCell ref="AD5:AD6"/>
    <mergeCell ref="AB5:AB6"/>
    <mergeCell ref="R5:T5"/>
    <mergeCell ref="V5:X5"/>
    <mergeCell ref="Y5:Y6"/>
    <mergeCell ref="Z5:Z6"/>
    <mergeCell ref="AA5:AA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1CEBD3-4ADC-4257-A47F-7B8656B63DCE}">
          <x14:formula1>
            <xm:f>VALIDATION!$A$2:$A$7</xm:f>
          </x14:formula1>
          <xm:sqref>E7:E16 E22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9D29-DF5A-453D-935D-C34782D90E7E}">
  <dimension ref="A1:AE21"/>
  <sheetViews>
    <sheetView zoomScaleNormal="100" workbookViewId="0">
      <selection activeCell="AD19" sqref="A19:AD20"/>
    </sheetView>
  </sheetViews>
  <sheetFormatPr defaultRowHeight="15" x14ac:dyDescent="0.25"/>
  <cols>
    <col min="1" max="1" width="2.57031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1" bestFit="1" customWidth="1"/>
    <col min="7" max="7" width="9" bestFit="1" customWidth="1"/>
    <col min="8" max="8" width="14.85546875" bestFit="1" customWidth="1"/>
    <col min="9" max="9" width="11" bestFit="1" customWidth="1"/>
    <col min="10" max="10" width="9.140625" bestFit="1" customWidth="1"/>
    <col min="11" max="11" width="13.42578125" bestFit="1" customWidth="1"/>
    <col min="12" max="12" width="13.5703125" bestFit="1" customWidth="1"/>
    <col min="13" max="13" width="11.5703125" bestFit="1" customWidth="1"/>
    <col min="14" max="14" width="9.5703125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685</v>
      </c>
      <c r="C7" s="6"/>
      <c r="D7" s="7">
        <v>45855</v>
      </c>
      <c r="E7" s="8" t="s">
        <v>19</v>
      </c>
      <c r="F7" s="9">
        <v>50</v>
      </c>
      <c r="G7" s="9">
        <f>Table242830891013141516171812394243[[#This Row],[Total Purchase Amount]]/Table242830891013141516171812394243[[#This Row],[Purchase QTY]]</f>
        <v>1218.9000000000001</v>
      </c>
      <c r="H7" s="9">
        <v>60945.000000000007</v>
      </c>
      <c r="I7" s="9"/>
      <c r="J7" s="9"/>
      <c r="K7" s="9"/>
      <c r="L7" s="9"/>
      <c r="M7" s="9">
        <f>Table242830891013141516171812394243[[#This Row],[Total Purchase Amount]]</f>
        <v>60945.000000000007</v>
      </c>
      <c r="N7" s="9">
        <f>IF(Table242830891013141516171812394243[[#This Row],[Txn Type]]="opening",Table242830891013141516171812394243[[#This Row],[Purchase QTY]],"Error")</f>
        <v>50</v>
      </c>
      <c r="O7" s="42">
        <f>IFERROR(Table242830891013141516171812394243[[#This Row],[TC AP NFRS]]/Table242830891013141516171812394243[[#This Row],[Unit Sum]],0)</f>
        <v>1218.9000000000001</v>
      </c>
      <c r="P7" s="10">
        <f>Table242830891013141516171812394243[[#This Row],[Sales Amt]]-Table242830891013141516171812394243[[#This Row],[Principal Cost As per  NFRS (In case of Sales)]]</f>
        <v>0</v>
      </c>
      <c r="R7" s="17"/>
      <c r="S7" s="17"/>
      <c r="T7" s="20">
        <f>R7+S7</f>
        <v>0</v>
      </c>
      <c r="U7" s="20">
        <f>AB7</f>
        <v>52385.005000000005</v>
      </c>
      <c r="V7" s="20"/>
      <c r="W7" s="20"/>
      <c r="X7" s="20"/>
      <c r="Y7" s="46"/>
      <c r="Z7" s="46"/>
      <c r="AA7" s="46"/>
      <c r="AB7" s="46">
        <f>F7*AC7</f>
        <v>52385.005000000005</v>
      </c>
      <c r="AC7" s="46">
        <v>1047.7001</v>
      </c>
      <c r="AD7" s="56"/>
    </row>
    <row r="8" spans="1:31" x14ac:dyDescent="0.25">
      <c r="A8" s="5">
        <f>A7+1</f>
        <v>2</v>
      </c>
      <c r="B8" s="6" t="str">
        <f>B7</f>
        <v>CCBD88</v>
      </c>
      <c r="C8" s="6"/>
      <c r="D8" s="7"/>
      <c r="E8" s="8"/>
      <c r="F8" s="9">
        <v>0</v>
      </c>
      <c r="G8" s="9">
        <f>IFERROR(Table242830891013141516171812394243[[#This Row],[Total Purchase Amount]]/Table242830891013141516171812394243[[#This Row],[Purchase QTY]],0)</f>
        <v>0</v>
      </c>
      <c r="H8" s="9">
        <v>0</v>
      </c>
      <c r="I8" s="9">
        <v>0</v>
      </c>
      <c r="J8" s="9" t="e">
        <f>Table242830891013141516171812394243[[#This Row],[Sales Amt]]/Table242830891013141516171812394243[[#This Row],[Sales Qty]]</f>
        <v>#DIV/0!</v>
      </c>
      <c r="K8" s="9">
        <v>0</v>
      </c>
      <c r="L8" s="9">
        <f>Table242830891013141516171812394243[[#This Row],[Sales Qty]]*O7</f>
        <v>0</v>
      </c>
      <c r="M8" s="9">
        <f>M7+Table242830891013141516171812394243[[#This Row],[Total Purchase Amount]]-Table242830891013141516171812394243[[#This Row],[Principal Cost As per  NFRS (In case of Sales)]]</f>
        <v>60945.000000000007</v>
      </c>
      <c r="N8" s="9">
        <f>N7+Table242830891013141516171812394243[[#This Row],[Purchase QTY]]-Table242830891013141516171812394243[[#This Row],[Sales Qty]]</f>
        <v>50</v>
      </c>
      <c r="O8" s="42">
        <f>IFERROR(Table242830891013141516171812394243[[#This Row],[TC AP NFRS]]/Table242830891013141516171812394243[[#This Row],[Unit Sum]],0)</f>
        <v>1218.9000000000001</v>
      </c>
      <c r="P8" s="10">
        <f>Table242830891013141516171812394243[[#This Row],[Sales Amt]]-Table242830891013141516171812394243[[#This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52385.005000000005</v>
      </c>
      <c r="AC8" s="20">
        <f>IFERROR(AB8/N8,0)</f>
        <v>1047.7001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IF(Table242830891013141516171812394243[[#This Row],[SPPU]]&gt;=0,0,Table242830891013141516171812394243[[#This Row],[Total Purchase Amount]]/Table242830891013141516171812394243[[#This Row],[Purchase QTY]])</f>
        <v>0</v>
      </c>
      <c r="H9" s="9">
        <v>0</v>
      </c>
      <c r="I9" s="9">
        <v>0</v>
      </c>
      <c r="J9" s="9">
        <f>IFERROR(Table242830891013141516171812394243[[#This Row],[Sales Amt]]/Table242830891013141516171812394243[[#This Row],[Sales Qty]],0)</f>
        <v>0</v>
      </c>
      <c r="K9" s="9">
        <v>0</v>
      </c>
      <c r="L9" s="9">
        <f>Table242830891013141516171812394243[[#This Row],[Sales Qty]]*O8</f>
        <v>0</v>
      </c>
      <c r="M9" s="9">
        <f>M8+Table242830891013141516171812394243[[#This Row],[Total Purchase Amount]]-Table242830891013141516171812394243[[#This Row],[Principal Cost As per  NFRS (In case of Sales)]]</f>
        <v>60945.000000000007</v>
      </c>
      <c r="N9" s="9">
        <f>N8+Table242830891013141516171812394243[[#This Row],[Purchase QTY]]-Table242830891013141516171812394243[[#This Row],[Sales Qty]]</f>
        <v>50</v>
      </c>
      <c r="O9" s="42">
        <f>IFERROR(Table242830891013141516171812394243[[#This Row],[TC AP NFRS]]/Table242830891013141516171812394243[[#This Row],[Unit Sum]],0)</f>
        <v>1218.9000000000001</v>
      </c>
      <c r="P9" s="10">
        <f>Table242830891013141516171812394243[[#This Row],[Sales Amt]]-Table242830891013141516171812394243[[#This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52385.005000000005</v>
      </c>
      <c r="AC9" s="20">
        <f t="shared" ref="AC9:AC17" si="6">IFERROR(AB9/N9,0)</f>
        <v>1047.7001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IF(Table242830891013141516171812394243[[#This Row],[SPPU]]&gt;=0,0,Table242830891013141516171812394243[[#This Row],[Total Purchase Amount]]/Table242830891013141516171812394243[[#This Row],[Purchase QTY]])</f>
        <v>0</v>
      </c>
      <c r="H10" s="9"/>
      <c r="I10" s="9">
        <v>0</v>
      </c>
      <c r="J10" s="9">
        <f>IFERROR(Table242830891013141516171812394243[[#This Row],[Sales Amt]]/Table242830891013141516171812394243[[#This Row],[Sales Qty]],0)</f>
        <v>0</v>
      </c>
      <c r="K10" s="9">
        <v>0</v>
      </c>
      <c r="L10" s="9">
        <f>Table242830891013141516171812394243[[#This Row],[Sales Qty]]*O9</f>
        <v>0</v>
      </c>
      <c r="M10" s="9">
        <f>M9+Table242830891013141516171812394243[[#This Row],[Total Purchase Amount]]-Table242830891013141516171812394243[[#This Row],[Principal Cost As per  NFRS (In case of Sales)]]</f>
        <v>60945.000000000007</v>
      </c>
      <c r="N10" s="9">
        <f>N9+Table242830891013141516171812394243[[#This Row],[Purchase QTY]]-Table242830891013141516171812394243[[#This Row],[Sales Qty]]</f>
        <v>50</v>
      </c>
      <c r="O10" s="42">
        <f>IFERROR(Table242830891013141516171812394243[[#This Row],[TC AP NFRS]]/Table242830891013141516171812394243[[#This Row],[Unit Sum]],0)</f>
        <v>1218.9000000000001</v>
      </c>
      <c r="P10" s="10">
        <f>Table242830891013141516171812394243[[#This Row],[Sales Amt]]-Table242830891013141516171812394243[[#This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52385.005000000005</v>
      </c>
      <c r="AC10" s="20">
        <f t="shared" si="6"/>
        <v>1047.7001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IF(Table242830891013141516171812394243[[#This Row],[SPPU]]&gt;=0,0,Table242830891013141516171812394243[[#This Row],[Total Purchase Amount]]/Table242830891013141516171812394243[[#This Row],[Purchase QTY]])</f>
        <v>#DIV/0!</v>
      </c>
      <c r="H11" s="9"/>
      <c r="I11" s="9">
        <v>0</v>
      </c>
      <c r="J11" s="9" t="e">
        <f>Table242830891013141516171812394243[[#This Row],[Sales Amt]]/Table242830891013141516171812394243[[#This Row],[Sales Qty]]</f>
        <v>#DIV/0!</v>
      </c>
      <c r="K11" s="9">
        <v>0</v>
      </c>
      <c r="L11" s="9">
        <f>Table242830891013141516171812394243[[#This Row],[Sales Qty]]*O10</f>
        <v>0</v>
      </c>
      <c r="M11" s="9">
        <f>M10+Table242830891013141516171812394243[[#This Row],[Total Purchase Amount]]-Table242830891013141516171812394243[[#This Row],[Principal Cost As per  NFRS (In case of Sales)]]</f>
        <v>60945.000000000007</v>
      </c>
      <c r="N11" s="9">
        <f>N10+Table242830891013141516171812394243[[#This Row],[Purchase QTY]]-Table242830891013141516171812394243[[#This Row],[Sales Qty]]</f>
        <v>50</v>
      </c>
      <c r="O11" s="42">
        <f>IFERROR(Table242830891013141516171812394243[[#This Row],[TC AP NFRS]]/Table242830891013141516171812394243[[#This Row],[Unit Sum]],0)</f>
        <v>1218.9000000000001</v>
      </c>
      <c r="P11" s="10">
        <f>Table242830891013141516171812394243[[#This Row],[Sales Amt]]-Table242830891013141516171812394243[[#This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52385.005000000005</v>
      </c>
      <c r="AC11" s="20">
        <f t="shared" si="6"/>
        <v>1047.7001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Table242830891013141516171812394243[[#This Row],[Total Purchase Amount]]/Table242830891013141516171812394243[[#This Row],[Purchase QTY]]</f>
        <v>#DIV/0!</v>
      </c>
      <c r="H12" s="9">
        <v>0</v>
      </c>
      <c r="I12" s="9">
        <v>0</v>
      </c>
      <c r="J12" s="9">
        <f ca="1">IFERROR(Table242830891013141516171812394243[[#This Row],[Sales Amt]]/Table242830891013141516171812394243[[#This Row],[Sales Qty]],0)</f>
        <v>0</v>
      </c>
      <c r="K12" s="9">
        <f ca="1">Table242830891013141516171812394243[[#This Row],[Sales Qty]]*Table242830891013141516171812394243[[#This Row],[SPPU]]</f>
        <v>0</v>
      </c>
      <c r="L12" s="9">
        <f>Table242830891013141516171812394243[[#This Row],[Sales Qty]]*O11</f>
        <v>0</v>
      </c>
      <c r="M12" s="9">
        <f>M11+Table242830891013141516171812394243[[#This Row],[Total Purchase Amount]]-Table242830891013141516171812394243[[#This Row],[Principal Cost As per  NFRS (In case of Sales)]]</f>
        <v>60945.000000000007</v>
      </c>
      <c r="N12" s="9">
        <f>N11+Table242830891013141516171812394243[[#This Row],[Purchase QTY]]-Table242830891013141516171812394243[[#This Row],[Sales Qty]]</f>
        <v>50</v>
      </c>
      <c r="O12" s="42">
        <f>IFERROR(Table242830891013141516171812394243[[#This Row],[TC AP NFRS]]/Table242830891013141516171812394243[[#This Row],[Unit Sum]],0)</f>
        <v>1218.9000000000001</v>
      </c>
      <c r="P12" s="10">
        <f ca="1">Table242830891013141516171812394243[[#This Row],[Sales Amt]]-Table242830891013141516171812394243[[#This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52385.005000000005</v>
      </c>
      <c r="AC12" s="20">
        <f t="shared" si="6"/>
        <v>1047.7001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Table242830891013141516171812394243[[#This Row],[Total Purchase Amount]]/Table242830891013141516171812394243[[#This Row],[Purchase QTY]]</f>
        <v>#DIV/0!</v>
      </c>
      <c r="H13" s="9">
        <v>0</v>
      </c>
      <c r="I13" s="9">
        <v>0</v>
      </c>
      <c r="J13" s="9">
        <f ca="1">IFERROR(Table242830891013141516171812394243[[#This Row],[Sales Amt]]/Table242830891013141516171812394243[[#This Row],[Sales Qty]],0)</f>
        <v>0</v>
      </c>
      <c r="K13" s="9">
        <f ca="1">Table242830891013141516171812394243[[#This Row],[Sales Qty]]*Table242830891013141516171812394243[[#This Row],[SPPU]]</f>
        <v>0</v>
      </c>
      <c r="L13" s="9">
        <f>Table242830891013141516171812394243[[#This Row],[Sales Qty]]*O12</f>
        <v>0</v>
      </c>
      <c r="M13" s="9">
        <f>M12+Table242830891013141516171812394243[[#This Row],[Total Purchase Amount]]-Table242830891013141516171812394243[[#This Row],[Principal Cost As per  NFRS (In case of Sales)]]</f>
        <v>60945.000000000007</v>
      </c>
      <c r="N13" s="9">
        <f>N12+Table242830891013141516171812394243[[#This Row],[Purchase QTY]]-Table242830891013141516171812394243[[#This Row],[Sales Qty]]</f>
        <v>50</v>
      </c>
      <c r="O13" s="42">
        <f>IFERROR(Table242830891013141516171812394243[[#This Row],[TC AP NFRS]]/Table242830891013141516171812394243[[#This Row],[Unit Sum]],0)</f>
        <v>1218.9000000000001</v>
      </c>
      <c r="P13" s="10">
        <f ca="1">Table242830891013141516171812394243[[#This Row],[Sales Amt]]-Table242830891013141516171812394243[[#This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52385.005000000005</v>
      </c>
      <c r="AC13" s="20">
        <f t="shared" si="6"/>
        <v>1047.7001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IF(Table242830891013141516171812394243[[#This Row],[SPPU]]&gt;=0,0,Table242830891013141516171812394243[[#This Row],[Total Purchase Amount]]/Table242830891013141516171812394243[[#This Row],[Purchase QTY]])</f>
        <v>0</v>
      </c>
      <c r="H14" s="9"/>
      <c r="I14" s="9">
        <v>0</v>
      </c>
      <c r="J14" s="9">
        <f>IFERROR(Table242830891013141516171812394243[[#This Row],[Sales Amt]]/Table242830891013141516171812394243[[#This Row],[Sales Qty]],0)</f>
        <v>0</v>
      </c>
      <c r="K14" s="9">
        <v>0</v>
      </c>
      <c r="L14" s="9">
        <f>Table242830891013141516171812394243[[#This Row],[Sales Qty]]*O12</f>
        <v>0</v>
      </c>
      <c r="M14" s="9">
        <f>M13+Table242830891013141516171812394243[[#This Row],[Total Purchase Amount]]-Table242830891013141516171812394243[[#This Row],[Principal Cost As per  NFRS (In case of Sales)]]</f>
        <v>60945.000000000007</v>
      </c>
      <c r="N14" s="9">
        <f>N13+Table242830891013141516171812394243[[#This Row],[Purchase QTY]]-Table242830891013141516171812394243[[#This Row],[Sales Qty]]</f>
        <v>50</v>
      </c>
      <c r="O14" s="42">
        <f>IFERROR(Table242830891013141516171812394243[[#This Row],[TC AP NFRS]]/Table242830891013141516171812394243[[#This Row],[Unit Sum]],0)</f>
        <v>1218.9000000000001</v>
      </c>
      <c r="P14" s="10">
        <f>Table242830891013141516171812394243[[#This Row],[Sales Amt]]-Table242830891013141516171812394243[[#This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52385.005000000005</v>
      </c>
      <c r="AC14" s="20">
        <f t="shared" si="6"/>
        <v>1047.7001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IF(Table242830891013141516171812394243[[#This Row],[SPPU]]&gt;=0,0,Table242830891013141516171812394243[[#This Row],[Total Purchase Amount]]/Table242830891013141516171812394243[[#This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Table242830891013141516171812394243[[#This Row],[Sales Qty]]*O14</f>
        <v>0</v>
      </c>
      <c r="M15" s="9">
        <f>M14+Table242830891013141516171812394243[[#This Row],[Total Purchase Amount]]-Table242830891013141516171812394243[[#This Row],[Principal Cost As per  NFRS (In case of Sales)]]</f>
        <v>60945.000000000007</v>
      </c>
      <c r="N15" s="9">
        <f>N14+Table242830891013141516171812394243[[#This Row],[Purchase QTY]]-Table242830891013141516171812394243[[#This Row],[Sales Qty]]</f>
        <v>50</v>
      </c>
      <c r="O15" s="42">
        <f>IFERROR(Table242830891013141516171812394243[[#This Row],[TC AP NFRS]]/Table242830891013141516171812394243[[#This Row],[Unit Sum]],0)</f>
        <v>1218.9000000000001</v>
      </c>
      <c r="P15" s="10">
        <f>Table242830891013141516171812394243[[#This Row],[Sales Amt]]-Table242830891013141516171812394243[[#This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52385.005000000005</v>
      </c>
      <c r="AC15" s="20">
        <f t="shared" si="6"/>
        <v>1047.7001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IF(Table242830891013141516171812394243[[#This Row],[SPPU]]&gt;=0,0,Table242830891013141516171812394243[[#This Row],[Total Purchase Amount]]/Table242830891013141516171812394243[[#This Row],[Purchase QTY]])</f>
        <v>#DIV/0!</v>
      </c>
      <c r="H16" s="9"/>
      <c r="I16" s="9">
        <v>0</v>
      </c>
      <c r="J16" s="9" t="e">
        <f>Table242830891013141516171812394243[[#This Row],[Sales Amt]]/Table242830891013141516171812394243[[#This Row],[Sales Qty]]</f>
        <v>#DIV/0!</v>
      </c>
      <c r="K16" s="9">
        <v>0</v>
      </c>
      <c r="L16" s="9">
        <f>Table242830891013141516171812394243[[#This Row],[Sales Qty]]*O15</f>
        <v>0</v>
      </c>
      <c r="M16" s="9">
        <f>M15+Table242830891013141516171812394243[[#This Row],[Total Purchase Amount]]-Table242830891013141516171812394243[[#This Row],[Principal Cost As per  NFRS (In case of Sales)]]</f>
        <v>60945.000000000007</v>
      </c>
      <c r="N16" s="9">
        <f>N15+Table242830891013141516171812394243[[#This Row],[Purchase QTY]]-Table242830891013141516171812394243[[#This Row],[Sales Qty]]</f>
        <v>50</v>
      </c>
      <c r="O16" s="42">
        <f>IFERROR(Table242830891013141516171812394243[[#This Row],[TC AP NFRS]]/Table242830891013141516171812394243[[#This Row],[Unit Sum]],0)</f>
        <v>1218.9000000000001</v>
      </c>
      <c r="P16" s="10">
        <f>Table242830891013141516171812394243[[#This Row],[Sales Amt]]-Table242830891013141516171812394243[[#This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52385.005000000005</v>
      </c>
      <c r="AC16" s="20">
        <f t="shared" si="6"/>
        <v>1047.7001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50</v>
      </c>
      <c r="G17" s="15"/>
      <c r="H17" s="15">
        <f ca="1">SUM(INDIRECT("h4:h"&amp;ROW()-1))</f>
        <v>60945.000000000007</v>
      </c>
      <c r="I17" s="15">
        <f ca="1">SUM(INDIRECT("i4:i"&amp;ROW()-1))</f>
        <v>0</v>
      </c>
      <c r="J17" s="15" t="e">
        <f ca="1">Table242830891013141516171812394243[[#This Row],[Sales Amt]]/Table242830891013141516171812394243[[#This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Table242830891013141516171812394243[[#This Row],[Total Purchase Amount]]-Table242830891013141516171812394243[[#This Row],[Principal Cost As per  NFRS (In case of Sales)]]</f>
        <v>60945.000000000007</v>
      </c>
      <c r="N17" s="15">
        <f ca="1">Table242830891013141516171812394243[[#This Row],[Purchase QTY]]-Table242830891013141516171812394243[[#This Row],[Sales Qty]]</f>
        <v>50</v>
      </c>
      <c r="O17" s="43">
        <f ca="1">IFERROR(Table242830891013141516171812394243[[#This Row],[TC AP NFRS]]/Table242830891013141516171812394243[[#This Row],[Unit Sum]],0)</f>
        <v>1218.9000000000001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52385.005000000005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52385.005000000005</v>
      </c>
      <c r="AC17" s="24">
        <f t="shared" ca="1" si="6"/>
        <v>1047.7001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685</v>
      </c>
      <c r="C21" s="97"/>
      <c r="D21" s="98">
        <v>45886</v>
      </c>
      <c r="E21" s="99" t="s">
        <v>19</v>
      </c>
      <c r="F21" s="59">
        <v>50</v>
      </c>
      <c r="G21" s="59"/>
      <c r="H21" s="59">
        <v>60945.000000000007</v>
      </c>
      <c r="I21" s="59"/>
      <c r="J21" s="59"/>
      <c r="K21" s="59"/>
      <c r="L21" s="59"/>
      <c r="M21" s="59">
        <v>60945.000000000007</v>
      </c>
      <c r="N21" s="59">
        <v>50</v>
      </c>
      <c r="O21" s="59">
        <v>1218.9000000000001</v>
      </c>
      <c r="P21" s="59"/>
      <c r="Q21" s="59"/>
      <c r="R21" s="59"/>
      <c r="S21" s="59"/>
      <c r="T21" s="59"/>
      <c r="U21" s="59">
        <v>52385.005000000005</v>
      </c>
      <c r="V21" s="59"/>
      <c r="W21" s="59"/>
      <c r="X21" s="59"/>
      <c r="Y21" s="59"/>
      <c r="Z21" s="59"/>
      <c r="AA21" s="59"/>
      <c r="AB21" s="59">
        <v>52385.005000000005</v>
      </c>
      <c r="AC21" s="59">
        <v>1047.7001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1BA667-EB77-4F72-B8B4-C698A0FF2C32}">
          <x14:formula1>
            <xm:f>VALIDATION!$A$2:$A$7</xm:f>
          </x14:formula1>
          <xm:sqref>E7:E16 E21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27FB-7F3E-4190-9FAA-2EB80DB5D66B}">
  <dimension ref="A1:AE22"/>
  <sheetViews>
    <sheetView zoomScaleNormal="100" workbookViewId="0">
      <selection activeCell="AD20" sqref="A20:AD21"/>
    </sheetView>
  </sheetViews>
  <sheetFormatPr defaultRowHeight="15" x14ac:dyDescent="0.25"/>
  <cols>
    <col min="1" max="1" width="5.140625" customWidth="1"/>
    <col min="2" max="2" width="15.140625" customWidth="1"/>
    <col min="3" max="3" width="16.85546875" bestFit="1" customWidth="1"/>
    <col min="4" max="4" width="10.28515625" customWidth="1"/>
    <col min="5" max="5" width="8.7109375" customWidth="1"/>
    <col min="6" max="6" width="11" bestFit="1" customWidth="1"/>
    <col min="7" max="7" width="9" bestFit="1" customWidth="1"/>
    <col min="8" max="8" width="14.85546875" bestFit="1" customWidth="1"/>
    <col min="9" max="9" width="11" bestFit="1" customWidth="1"/>
    <col min="10" max="10" width="9.140625" bestFit="1" customWidth="1"/>
    <col min="11" max="11" width="13.42578125" bestFit="1" customWidth="1"/>
    <col min="12" max="12" width="13.5703125" bestFit="1" customWidth="1"/>
    <col min="13" max="13" width="11.5703125" bestFit="1" customWidth="1"/>
    <col min="14" max="14" width="9.5703125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672</v>
      </c>
      <c r="C7" s="6"/>
      <c r="D7" s="7">
        <v>45855</v>
      </c>
      <c r="E7" s="8" t="s">
        <v>19</v>
      </c>
      <c r="F7" s="9">
        <v>201</v>
      </c>
      <c r="G7" s="9">
        <f>Table24283089101314151617181239424344[[#This Row],[Total Purchase Amount]]/Table24283089101314151617181239424344[[#This Row],[Purchase QTY]]</f>
        <v>1205</v>
      </c>
      <c r="H7" s="9">
        <v>242205</v>
      </c>
      <c r="I7" s="9"/>
      <c r="J7" s="9"/>
      <c r="K7" s="9"/>
      <c r="L7" s="9"/>
      <c r="M7" s="9">
        <f>Table24283089101314151617181239424344[[#This Row],[Total Purchase Amount]]</f>
        <v>242205</v>
      </c>
      <c r="N7" s="9">
        <f>IF(Table24283089101314151617181239424344[[#This Row],[Txn Type]]="opening",Table24283089101314151617181239424344[[#This Row],[Purchase QTY]],"Error")</f>
        <v>201</v>
      </c>
      <c r="O7" s="42">
        <f>IFERROR(Table24283089101314151617181239424344[[#This Row],[TC AP NFRS]]/Table24283089101314151617181239424344[[#This Row],[Unit Sum]],0)</f>
        <v>1205</v>
      </c>
      <c r="P7" s="10">
        <f>Table24283089101314151617181239424344[[#This Row],[Sales Amt]]-Table24283089101314151617181239424344[[#This Row],[Principal Cost As per  NFRS (In case of Sales)]]</f>
        <v>0</v>
      </c>
      <c r="R7" s="17"/>
      <c r="S7" s="17"/>
      <c r="T7" s="20">
        <f>R7+S7</f>
        <v>0</v>
      </c>
      <c r="U7" s="20">
        <f>AB7</f>
        <v>213398.18249999997</v>
      </c>
      <c r="V7" s="20"/>
      <c r="W7" s="20"/>
      <c r="X7" s="20"/>
      <c r="Y7" s="46"/>
      <c r="Z7" s="46"/>
      <c r="AA7" s="46"/>
      <c r="AB7" s="46">
        <f>F7*AC7</f>
        <v>213398.18249999997</v>
      </c>
      <c r="AC7" s="46">
        <v>1061.6824999999999</v>
      </c>
      <c r="AD7" s="56"/>
    </row>
    <row r="8" spans="1:31" x14ac:dyDescent="0.25">
      <c r="A8" s="5">
        <f>A7+1</f>
        <v>2</v>
      </c>
      <c r="B8" s="6" t="str">
        <f>B7</f>
        <v>CBLD88</v>
      </c>
      <c r="C8" s="6"/>
      <c r="D8" s="7"/>
      <c r="E8" s="8"/>
      <c r="F8" s="9">
        <v>0</v>
      </c>
      <c r="G8" s="9">
        <f>IFERROR(Table24283089101314151617181239424344[[#This Row],[Total Purchase Amount]]/Table24283089101314151617181239424344[[#This Row],[Purchase QTY]],0)</f>
        <v>0</v>
      </c>
      <c r="H8" s="9">
        <v>0</v>
      </c>
      <c r="I8" s="9">
        <v>0</v>
      </c>
      <c r="J8" s="9" t="e">
        <f>Table24283089101314151617181239424344[[#This Row],[Sales Amt]]/Table24283089101314151617181239424344[[#This Row],[Sales Qty]]</f>
        <v>#DIV/0!</v>
      </c>
      <c r="K8" s="9">
        <v>0</v>
      </c>
      <c r="L8" s="9">
        <f>Table24283089101314151617181239424344[[#This Row],[Sales Qty]]*O7</f>
        <v>0</v>
      </c>
      <c r="M8" s="9">
        <f>M7+Table24283089101314151617181239424344[[#This Row],[Total Purchase Amount]]-Table24283089101314151617181239424344[[#This Row],[Principal Cost As per  NFRS (In case of Sales)]]</f>
        <v>242205</v>
      </c>
      <c r="N8" s="9">
        <f>N7+Table24283089101314151617181239424344[[#This Row],[Purchase QTY]]-Table24283089101314151617181239424344[[#This Row],[Sales Qty]]</f>
        <v>201</v>
      </c>
      <c r="O8" s="42">
        <f>IFERROR(Table24283089101314151617181239424344[[#This Row],[TC AP NFRS]]/Table24283089101314151617181239424344[[#This Row],[Unit Sum]],0)</f>
        <v>1205</v>
      </c>
      <c r="P8" s="10">
        <f>Table24283089101314151617181239424344[[#This Row],[Sales Amt]]-Table24283089101314151617181239424344[[#This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213398.18249999997</v>
      </c>
      <c r="AC8" s="20">
        <f>IFERROR(AB8/N8,0)</f>
        <v>1061.6824999999999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IF(Table24283089101314151617181239424344[[#This Row],[SPPU]]&gt;=0,0,Table24283089101314151617181239424344[[#This Row],[Total Purchase Amount]]/Table24283089101314151617181239424344[[#This Row],[Purchase QTY]])</f>
        <v>0</v>
      </c>
      <c r="H9" s="9">
        <v>0</v>
      </c>
      <c r="I9" s="9">
        <v>0</v>
      </c>
      <c r="J9" s="9">
        <f>IFERROR(Table24283089101314151617181239424344[[#This Row],[Sales Amt]]/Table24283089101314151617181239424344[[#This Row],[Sales Qty]],0)</f>
        <v>0</v>
      </c>
      <c r="K9" s="9">
        <v>0</v>
      </c>
      <c r="L9" s="9">
        <f>Table24283089101314151617181239424344[[#This Row],[Sales Qty]]*O8</f>
        <v>0</v>
      </c>
      <c r="M9" s="9">
        <f>M8+Table24283089101314151617181239424344[[#This Row],[Total Purchase Amount]]-Table24283089101314151617181239424344[[#This Row],[Principal Cost As per  NFRS (In case of Sales)]]</f>
        <v>242205</v>
      </c>
      <c r="N9" s="9">
        <f>N8+Table24283089101314151617181239424344[[#This Row],[Purchase QTY]]-Table24283089101314151617181239424344[[#This Row],[Sales Qty]]</f>
        <v>201</v>
      </c>
      <c r="O9" s="42">
        <f>IFERROR(Table24283089101314151617181239424344[[#This Row],[TC AP NFRS]]/Table24283089101314151617181239424344[[#This Row],[Unit Sum]],0)</f>
        <v>1205</v>
      </c>
      <c r="P9" s="10">
        <f>Table24283089101314151617181239424344[[#This Row],[Sales Amt]]-Table24283089101314151617181239424344[[#This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213398.18249999997</v>
      </c>
      <c r="AC9" s="20">
        <f t="shared" ref="AC9:AC17" si="6">IFERROR(AB9/N9,0)</f>
        <v>1061.6824999999999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IF(Table24283089101314151617181239424344[[#This Row],[SPPU]]&gt;=0,0,Table24283089101314151617181239424344[[#This Row],[Total Purchase Amount]]/Table24283089101314151617181239424344[[#This Row],[Purchase QTY]])</f>
        <v>0</v>
      </c>
      <c r="H10" s="9"/>
      <c r="I10" s="9">
        <v>0</v>
      </c>
      <c r="J10" s="9">
        <f>IFERROR(Table24283089101314151617181239424344[[#This Row],[Sales Amt]]/Table24283089101314151617181239424344[[#This Row],[Sales Qty]],0)</f>
        <v>0</v>
      </c>
      <c r="K10" s="9">
        <v>0</v>
      </c>
      <c r="L10" s="9">
        <f>Table24283089101314151617181239424344[[#This Row],[Sales Qty]]*O9</f>
        <v>0</v>
      </c>
      <c r="M10" s="9">
        <f>M9+Table24283089101314151617181239424344[[#This Row],[Total Purchase Amount]]-Table24283089101314151617181239424344[[#This Row],[Principal Cost As per  NFRS (In case of Sales)]]</f>
        <v>242205</v>
      </c>
      <c r="N10" s="9">
        <f>N9+Table24283089101314151617181239424344[[#This Row],[Purchase QTY]]-Table24283089101314151617181239424344[[#This Row],[Sales Qty]]</f>
        <v>201</v>
      </c>
      <c r="O10" s="42">
        <f>IFERROR(Table24283089101314151617181239424344[[#This Row],[TC AP NFRS]]/Table24283089101314151617181239424344[[#This Row],[Unit Sum]],0)</f>
        <v>1205</v>
      </c>
      <c r="P10" s="10">
        <f>Table24283089101314151617181239424344[[#This Row],[Sales Amt]]-Table24283089101314151617181239424344[[#This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213398.18249999997</v>
      </c>
      <c r="AC10" s="20">
        <f t="shared" si="6"/>
        <v>1061.6824999999999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IF(Table24283089101314151617181239424344[[#This Row],[SPPU]]&gt;=0,0,Table24283089101314151617181239424344[[#This Row],[Total Purchase Amount]]/Table24283089101314151617181239424344[[#This Row],[Purchase QTY]])</f>
        <v>#DIV/0!</v>
      </c>
      <c r="H11" s="9"/>
      <c r="I11" s="9">
        <v>0</v>
      </c>
      <c r="J11" s="9" t="e">
        <f>Table24283089101314151617181239424344[[#This Row],[Sales Amt]]/Table24283089101314151617181239424344[[#This Row],[Sales Qty]]</f>
        <v>#DIV/0!</v>
      </c>
      <c r="K11" s="9">
        <v>0</v>
      </c>
      <c r="L11" s="9">
        <f>Table24283089101314151617181239424344[[#This Row],[Sales Qty]]*O10</f>
        <v>0</v>
      </c>
      <c r="M11" s="9">
        <f>M10+Table24283089101314151617181239424344[[#This Row],[Total Purchase Amount]]-Table24283089101314151617181239424344[[#This Row],[Principal Cost As per  NFRS (In case of Sales)]]</f>
        <v>242205</v>
      </c>
      <c r="N11" s="9">
        <f>N10+Table24283089101314151617181239424344[[#This Row],[Purchase QTY]]-Table24283089101314151617181239424344[[#This Row],[Sales Qty]]</f>
        <v>201</v>
      </c>
      <c r="O11" s="42">
        <f>IFERROR(Table24283089101314151617181239424344[[#This Row],[TC AP NFRS]]/Table24283089101314151617181239424344[[#This Row],[Unit Sum]],0)</f>
        <v>1205</v>
      </c>
      <c r="P11" s="10">
        <f>Table24283089101314151617181239424344[[#This Row],[Sales Amt]]-Table24283089101314151617181239424344[[#This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213398.18249999997</v>
      </c>
      <c r="AC11" s="20">
        <f t="shared" si="6"/>
        <v>1061.6824999999999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Table24283089101314151617181239424344[[#This Row],[Total Purchase Amount]]/Table24283089101314151617181239424344[[#This Row],[Purchase QTY]]</f>
        <v>#DIV/0!</v>
      </c>
      <c r="H12" s="9">
        <v>0</v>
      </c>
      <c r="I12" s="9">
        <v>0</v>
      </c>
      <c r="J12" s="9">
        <f ca="1">IFERROR(Table24283089101314151617181239424344[[#This Row],[Sales Amt]]/Table24283089101314151617181239424344[[#This Row],[Sales Qty]],0)</f>
        <v>0</v>
      </c>
      <c r="K12" s="9">
        <f ca="1">Table24283089101314151617181239424344[[#This Row],[Sales Qty]]*Table24283089101314151617181239424344[[#This Row],[SPPU]]</f>
        <v>0</v>
      </c>
      <c r="L12" s="9">
        <f>Table24283089101314151617181239424344[[#This Row],[Sales Qty]]*O11</f>
        <v>0</v>
      </c>
      <c r="M12" s="9">
        <f>M11+Table24283089101314151617181239424344[[#This Row],[Total Purchase Amount]]-Table24283089101314151617181239424344[[#This Row],[Principal Cost As per  NFRS (In case of Sales)]]</f>
        <v>242205</v>
      </c>
      <c r="N12" s="9">
        <f>N11+Table24283089101314151617181239424344[[#This Row],[Purchase QTY]]-Table24283089101314151617181239424344[[#This Row],[Sales Qty]]</f>
        <v>201</v>
      </c>
      <c r="O12" s="42">
        <f>IFERROR(Table24283089101314151617181239424344[[#This Row],[TC AP NFRS]]/Table24283089101314151617181239424344[[#This Row],[Unit Sum]],0)</f>
        <v>1205</v>
      </c>
      <c r="P12" s="10">
        <f ca="1">Table24283089101314151617181239424344[[#This Row],[Sales Amt]]-Table24283089101314151617181239424344[[#This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213398.18249999997</v>
      </c>
      <c r="AC12" s="20">
        <f t="shared" si="6"/>
        <v>1061.6824999999999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Table24283089101314151617181239424344[[#This Row],[Total Purchase Amount]]/Table24283089101314151617181239424344[[#This Row],[Purchase QTY]]</f>
        <v>#DIV/0!</v>
      </c>
      <c r="H13" s="9">
        <v>0</v>
      </c>
      <c r="I13" s="9">
        <v>0</v>
      </c>
      <c r="J13" s="9">
        <f ca="1">IFERROR(Table24283089101314151617181239424344[[#This Row],[Sales Amt]]/Table24283089101314151617181239424344[[#This Row],[Sales Qty]],0)</f>
        <v>0</v>
      </c>
      <c r="K13" s="9">
        <f ca="1">Table24283089101314151617181239424344[[#This Row],[Sales Qty]]*Table24283089101314151617181239424344[[#This Row],[SPPU]]</f>
        <v>0</v>
      </c>
      <c r="L13" s="9">
        <f>Table24283089101314151617181239424344[[#This Row],[Sales Qty]]*O12</f>
        <v>0</v>
      </c>
      <c r="M13" s="9">
        <f>M12+Table24283089101314151617181239424344[[#This Row],[Total Purchase Amount]]-Table24283089101314151617181239424344[[#This Row],[Principal Cost As per  NFRS (In case of Sales)]]</f>
        <v>242205</v>
      </c>
      <c r="N13" s="9">
        <f>N12+Table24283089101314151617181239424344[[#This Row],[Purchase QTY]]-Table24283089101314151617181239424344[[#This Row],[Sales Qty]]</f>
        <v>201</v>
      </c>
      <c r="O13" s="42">
        <f>IFERROR(Table24283089101314151617181239424344[[#This Row],[TC AP NFRS]]/Table24283089101314151617181239424344[[#This Row],[Unit Sum]],0)</f>
        <v>1205</v>
      </c>
      <c r="P13" s="10">
        <f ca="1">Table24283089101314151617181239424344[[#This Row],[Sales Amt]]-Table24283089101314151617181239424344[[#This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213398.18249999997</v>
      </c>
      <c r="AC13" s="20">
        <f t="shared" si="6"/>
        <v>1061.6824999999999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IF(Table24283089101314151617181239424344[[#This Row],[SPPU]]&gt;=0,0,Table24283089101314151617181239424344[[#This Row],[Total Purchase Amount]]/Table24283089101314151617181239424344[[#This Row],[Purchase QTY]])</f>
        <v>0</v>
      </c>
      <c r="H14" s="9"/>
      <c r="I14" s="9">
        <v>0</v>
      </c>
      <c r="J14" s="9">
        <f>IFERROR(Table24283089101314151617181239424344[[#This Row],[Sales Amt]]/Table24283089101314151617181239424344[[#This Row],[Sales Qty]],0)</f>
        <v>0</v>
      </c>
      <c r="K14" s="9">
        <v>0</v>
      </c>
      <c r="L14" s="9">
        <f>Table24283089101314151617181239424344[[#This Row],[Sales Qty]]*O12</f>
        <v>0</v>
      </c>
      <c r="M14" s="9">
        <f>M13+Table24283089101314151617181239424344[[#This Row],[Total Purchase Amount]]-Table24283089101314151617181239424344[[#This Row],[Principal Cost As per  NFRS (In case of Sales)]]</f>
        <v>242205</v>
      </c>
      <c r="N14" s="9">
        <f>N13+Table24283089101314151617181239424344[[#This Row],[Purchase QTY]]-Table24283089101314151617181239424344[[#This Row],[Sales Qty]]</f>
        <v>201</v>
      </c>
      <c r="O14" s="42">
        <f>IFERROR(Table24283089101314151617181239424344[[#This Row],[TC AP NFRS]]/Table24283089101314151617181239424344[[#This Row],[Unit Sum]],0)</f>
        <v>1205</v>
      </c>
      <c r="P14" s="10">
        <f>Table24283089101314151617181239424344[[#This Row],[Sales Amt]]-Table24283089101314151617181239424344[[#This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213398.18249999997</v>
      </c>
      <c r="AC14" s="20">
        <f t="shared" si="6"/>
        <v>1061.6824999999999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IF(Table24283089101314151617181239424344[[#This Row],[SPPU]]&gt;=0,0,Table24283089101314151617181239424344[[#This Row],[Total Purchase Amount]]/Table24283089101314151617181239424344[[#This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Table24283089101314151617181239424344[[#This Row],[Sales Qty]]*O14</f>
        <v>0</v>
      </c>
      <c r="M15" s="9">
        <f>M14+Table24283089101314151617181239424344[[#This Row],[Total Purchase Amount]]-Table24283089101314151617181239424344[[#This Row],[Principal Cost As per  NFRS (In case of Sales)]]</f>
        <v>242205</v>
      </c>
      <c r="N15" s="9">
        <f>N14+Table24283089101314151617181239424344[[#This Row],[Purchase QTY]]-Table24283089101314151617181239424344[[#This Row],[Sales Qty]]</f>
        <v>201</v>
      </c>
      <c r="O15" s="42">
        <f>IFERROR(Table24283089101314151617181239424344[[#This Row],[TC AP NFRS]]/Table24283089101314151617181239424344[[#This Row],[Unit Sum]],0)</f>
        <v>1205</v>
      </c>
      <c r="P15" s="10">
        <f>Table24283089101314151617181239424344[[#This Row],[Sales Amt]]-Table24283089101314151617181239424344[[#This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213398.18249999997</v>
      </c>
      <c r="AC15" s="20">
        <f t="shared" si="6"/>
        <v>1061.6824999999999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IF(Table24283089101314151617181239424344[[#This Row],[SPPU]]&gt;=0,0,Table24283089101314151617181239424344[[#This Row],[Total Purchase Amount]]/Table24283089101314151617181239424344[[#This Row],[Purchase QTY]])</f>
        <v>#DIV/0!</v>
      </c>
      <c r="H16" s="9"/>
      <c r="I16" s="9">
        <v>0</v>
      </c>
      <c r="J16" s="9" t="e">
        <f>Table24283089101314151617181239424344[[#This Row],[Sales Amt]]/Table24283089101314151617181239424344[[#This Row],[Sales Qty]]</f>
        <v>#DIV/0!</v>
      </c>
      <c r="K16" s="9">
        <v>0</v>
      </c>
      <c r="L16" s="9">
        <f>Table24283089101314151617181239424344[[#This Row],[Sales Qty]]*O15</f>
        <v>0</v>
      </c>
      <c r="M16" s="9">
        <f>M15+Table24283089101314151617181239424344[[#This Row],[Total Purchase Amount]]-Table24283089101314151617181239424344[[#This Row],[Principal Cost As per  NFRS (In case of Sales)]]</f>
        <v>242205</v>
      </c>
      <c r="N16" s="9">
        <f>N15+Table24283089101314151617181239424344[[#This Row],[Purchase QTY]]-Table24283089101314151617181239424344[[#This Row],[Sales Qty]]</f>
        <v>201</v>
      </c>
      <c r="O16" s="42">
        <f>IFERROR(Table24283089101314151617181239424344[[#This Row],[TC AP NFRS]]/Table24283089101314151617181239424344[[#This Row],[Unit Sum]],0)</f>
        <v>1205</v>
      </c>
      <c r="P16" s="10">
        <f>Table24283089101314151617181239424344[[#This Row],[Sales Amt]]-Table24283089101314151617181239424344[[#This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213398.18249999997</v>
      </c>
      <c r="AC16" s="20">
        <f t="shared" si="6"/>
        <v>1061.6824999999999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201</v>
      </c>
      <c r="G17" s="15"/>
      <c r="H17" s="15">
        <f ca="1">SUM(INDIRECT("h4:h"&amp;ROW()-1))</f>
        <v>242205</v>
      </c>
      <c r="I17" s="15">
        <f ca="1">SUM(INDIRECT("i4:i"&amp;ROW()-1))</f>
        <v>0</v>
      </c>
      <c r="J17" s="15" t="e">
        <f ca="1">Table24283089101314151617181239424344[[#This Row],[Sales Amt]]/Table24283089101314151617181239424344[[#This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Table24283089101314151617181239424344[[#This Row],[Total Purchase Amount]]-Table24283089101314151617181239424344[[#This Row],[Principal Cost As per  NFRS (In case of Sales)]]</f>
        <v>242205</v>
      </c>
      <c r="N17" s="15">
        <f ca="1">Table24283089101314151617181239424344[[#This Row],[Purchase QTY]]-Table24283089101314151617181239424344[[#This Row],[Sales Qty]]</f>
        <v>201</v>
      </c>
      <c r="O17" s="43">
        <f ca="1">IFERROR(Table24283089101314151617181239424344[[#This Row],[TC AP NFRS]]/Table24283089101314151617181239424344[[#This Row],[Unit Sum]],0)</f>
        <v>1205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213398.18249999997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213398.18249999997</v>
      </c>
      <c r="AC17" s="24">
        <f t="shared" ca="1" si="6"/>
        <v>1061.6824999999999</v>
      </c>
      <c r="AD17" s="24">
        <f ca="1">SUM(AD7:AD16)</f>
        <v>0</v>
      </c>
    </row>
    <row r="20" spans="1:30" x14ac:dyDescent="0.25">
      <c r="A20" t="s">
        <v>882</v>
      </c>
      <c r="R20" s="120" t="s">
        <v>20</v>
      </c>
      <c r="S20" s="121"/>
      <c r="T20" s="121"/>
      <c r="U20" s="50"/>
      <c r="V20" s="120" t="s">
        <v>67</v>
      </c>
      <c r="W20" s="121"/>
      <c r="X20" s="121"/>
      <c r="Y20" s="123" t="s">
        <v>13</v>
      </c>
      <c r="Z20" s="124" t="s">
        <v>10</v>
      </c>
      <c r="AA20" s="125" t="s">
        <v>66</v>
      </c>
      <c r="AB20" s="123" t="s">
        <v>15</v>
      </c>
      <c r="AC20" s="123" t="s">
        <v>18</v>
      </c>
      <c r="AD20" s="123" t="s">
        <v>12</v>
      </c>
    </row>
    <row r="21" spans="1:30" ht="75" x14ac:dyDescent="0.25">
      <c r="A21" s="1" t="s">
        <v>57</v>
      </c>
      <c r="B21" s="2" t="s">
        <v>0</v>
      </c>
      <c r="C21" s="2" t="s">
        <v>53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51</v>
      </c>
      <c r="I21" s="2" t="s">
        <v>6</v>
      </c>
      <c r="J21" s="16" t="s">
        <v>7</v>
      </c>
      <c r="K21" s="16" t="s">
        <v>8</v>
      </c>
      <c r="L21" s="2" t="s">
        <v>50</v>
      </c>
      <c r="M21" s="2" t="s">
        <v>14</v>
      </c>
      <c r="N21" s="2" t="s">
        <v>16</v>
      </c>
      <c r="O21" s="4" t="s">
        <v>17</v>
      </c>
      <c r="P21" s="3" t="s">
        <v>11</v>
      </c>
      <c r="R21" s="2" t="s">
        <v>65</v>
      </c>
      <c r="S21" s="2" t="s">
        <v>62</v>
      </c>
      <c r="T21" s="2" t="s">
        <v>5</v>
      </c>
      <c r="U21" s="2" t="s">
        <v>164</v>
      </c>
      <c r="V21" s="16" t="s">
        <v>64</v>
      </c>
      <c r="W21" s="16" t="s">
        <v>62</v>
      </c>
      <c r="X21" s="45" t="s">
        <v>9</v>
      </c>
      <c r="Y21" s="123"/>
      <c r="Z21" s="124"/>
      <c r="AA21" s="125"/>
      <c r="AB21" s="123"/>
      <c r="AC21" s="123"/>
      <c r="AD21" s="123"/>
    </row>
    <row r="22" spans="1:30" x14ac:dyDescent="0.25">
      <c r="A22" s="96">
        <v>1</v>
      </c>
      <c r="B22" s="97" t="s">
        <v>672</v>
      </c>
      <c r="C22" s="97"/>
      <c r="D22" s="98">
        <v>45886</v>
      </c>
      <c r="E22" s="99" t="s">
        <v>19</v>
      </c>
      <c r="F22" s="59">
        <v>201</v>
      </c>
      <c r="G22" s="59"/>
      <c r="H22" s="59">
        <v>242205</v>
      </c>
      <c r="I22" s="59"/>
      <c r="J22" s="59"/>
      <c r="K22" s="59"/>
      <c r="L22" s="59"/>
      <c r="M22" s="59">
        <v>242205</v>
      </c>
      <c r="N22" s="59">
        <v>201</v>
      </c>
      <c r="O22" s="59">
        <v>1205</v>
      </c>
      <c r="P22" s="59"/>
      <c r="Q22" s="59"/>
      <c r="R22" s="59"/>
      <c r="S22" s="59"/>
      <c r="T22" s="59"/>
      <c r="U22" s="59">
        <v>213398.18249999997</v>
      </c>
      <c r="V22" s="59"/>
      <c r="W22" s="59"/>
      <c r="X22" s="59"/>
      <c r="Y22" s="59"/>
      <c r="Z22" s="59"/>
      <c r="AA22" s="59"/>
      <c r="AB22" s="59">
        <v>213398.18249999997</v>
      </c>
      <c r="AC22" s="59">
        <v>1061.6824999999999</v>
      </c>
      <c r="AD22" s="59"/>
    </row>
  </sheetData>
  <mergeCells count="16">
    <mergeCell ref="AB20:AB21"/>
    <mergeCell ref="AC20:AC21"/>
    <mergeCell ref="AD20:AD21"/>
    <mergeCell ref="R20:T20"/>
    <mergeCell ref="V20:X20"/>
    <mergeCell ref="Y20:Y21"/>
    <mergeCell ref="Z20:Z21"/>
    <mergeCell ref="AA20:AA21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149D46-A047-48BF-BE41-CB17A2C1DEDF}">
          <x14:formula1>
            <xm:f>VALIDATION!$A$2:$A$7</xm:f>
          </x14:formula1>
          <xm:sqref>E7:E16 E22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CD994-540C-4BAB-BA12-0C469DD7C0DA}">
  <dimension ref="A1:AE21"/>
  <sheetViews>
    <sheetView zoomScaleNormal="100" workbookViewId="0">
      <selection activeCell="AD19" sqref="A19:AD20"/>
    </sheetView>
  </sheetViews>
  <sheetFormatPr defaultRowHeight="15" x14ac:dyDescent="0.25"/>
  <cols>
    <col min="1" max="1" width="5.285156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697</v>
      </c>
      <c r="C7" s="6"/>
      <c r="D7" s="7">
        <v>45855</v>
      </c>
      <c r="E7" s="8" t="s">
        <v>19</v>
      </c>
      <c r="F7" s="9">
        <v>10030</v>
      </c>
      <c r="G7" s="9">
        <f>Table2428308910131415161718123942434445[[#This Row],[Total Purchase Amount]]/Table2428308910131415161718123942434445[[#This Row],[Purchase QTY]]</f>
        <v>1201</v>
      </c>
      <c r="H7" s="9">
        <v>12046030</v>
      </c>
      <c r="I7" s="9"/>
      <c r="J7" s="9"/>
      <c r="K7" s="9"/>
      <c r="L7" s="9"/>
      <c r="M7" s="9">
        <f>Table2428308910131415161718123942434445[[#This Row],[Total Purchase Amount]]</f>
        <v>12046030</v>
      </c>
      <c r="N7" s="9">
        <f>IF(Table2428308910131415161718123942434445[[#This Row],[Txn Type]]="opening",Table2428308910131415161718123942434445[[#This Row],[Purchase QTY]],"Error")</f>
        <v>10030</v>
      </c>
      <c r="O7" s="42">
        <f>IFERROR(Table2428308910131415161718123942434445[[#This Row],[TC AP NFRS]]/Table2428308910131415161718123942434445[[#This Row],[Unit Sum]],0)</f>
        <v>1201</v>
      </c>
      <c r="P7" s="10">
        <f>Table2428308910131415161718123942434445[[#This Row],[Sales Amt]]-Table2428308910131415161718123942434445[[#This Row],[Principal Cost As per  NFRS (In case of Sales)]]</f>
        <v>0</v>
      </c>
      <c r="R7" s="17"/>
      <c r="S7" s="17"/>
      <c r="T7" s="20">
        <f>R7+S7</f>
        <v>0</v>
      </c>
      <c r="U7" s="20">
        <f>AB7</f>
        <v>9640250.2479999997</v>
      </c>
      <c r="V7" s="20"/>
      <c r="W7" s="20"/>
      <c r="X7" s="20"/>
      <c r="Y7" s="46"/>
      <c r="Z7" s="46"/>
      <c r="AA7" s="46"/>
      <c r="AB7" s="46">
        <f>F7*AC7</f>
        <v>9640250.2479999997</v>
      </c>
      <c r="AC7" s="46">
        <v>961.14160000000004</v>
      </c>
      <c r="AD7" s="56"/>
    </row>
    <row r="8" spans="1:31" x14ac:dyDescent="0.25">
      <c r="A8" s="5">
        <f>A7+1</f>
        <v>2</v>
      </c>
      <c r="B8" s="6" t="str">
        <f>B7</f>
        <v>PBD88</v>
      </c>
      <c r="C8" s="6"/>
      <c r="D8" s="7"/>
      <c r="E8" s="8"/>
      <c r="F8" s="9">
        <v>0</v>
      </c>
      <c r="G8" s="9">
        <f>IFERROR(Table2428308910131415161718123942434445[[#This Row],[Total Purchase Amount]]/Table2428308910131415161718123942434445[[#This Row],[Purchase QTY]],0)</f>
        <v>0</v>
      </c>
      <c r="H8" s="9">
        <v>0</v>
      </c>
      <c r="I8" s="9">
        <v>0</v>
      </c>
      <c r="J8" s="9" t="e">
        <f>Table2428308910131415161718123942434445[[#This Row],[Sales Amt]]/Table2428308910131415161718123942434445[[#This Row],[Sales Qty]]</f>
        <v>#DIV/0!</v>
      </c>
      <c r="K8" s="9">
        <v>0</v>
      </c>
      <c r="L8" s="9">
        <f>Table2428308910131415161718123942434445[[#This Row],[Sales Qty]]*O7</f>
        <v>0</v>
      </c>
      <c r="M8" s="9">
        <f>M7+Table2428308910131415161718123942434445[[#This Row],[Total Purchase Amount]]-Table2428308910131415161718123942434445[[#This Row],[Principal Cost As per  NFRS (In case of Sales)]]</f>
        <v>12046030</v>
      </c>
      <c r="N8" s="9">
        <f>N7+Table2428308910131415161718123942434445[[#This Row],[Purchase QTY]]-Table2428308910131415161718123942434445[[#This Row],[Sales Qty]]</f>
        <v>10030</v>
      </c>
      <c r="O8" s="42">
        <f>IFERROR(Table2428308910131415161718123942434445[[#This Row],[TC AP NFRS]]/Table2428308910131415161718123942434445[[#This Row],[Unit Sum]],0)</f>
        <v>1201</v>
      </c>
      <c r="P8" s="10">
        <f>Table2428308910131415161718123942434445[[#This Row],[Sales Amt]]-Table2428308910131415161718123942434445[[#This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9640250.2479999997</v>
      </c>
      <c r="AC8" s="20">
        <f>IFERROR(AB8/N8,0)</f>
        <v>961.14159999999993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IF(Table2428308910131415161718123942434445[[#This Row],[SPPU]]&gt;=0,0,Table2428308910131415161718123942434445[[#This Row],[Total Purchase Amount]]/Table2428308910131415161718123942434445[[#This Row],[Purchase QTY]])</f>
        <v>0</v>
      </c>
      <c r="H9" s="9">
        <v>0</v>
      </c>
      <c r="I9" s="9">
        <v>0</v>
      </c>
      <c r="J9" s="9">
        <f>IFERROR(Table2428308910131415161718123942434445[[#This Row],[Sales Amt]]/Table2428308910131415161718123942434445[[#This Row],[Sales Qty]],0)</f>
        <v>0</v>
      </c>
      <c r="K9" s="9">
        <v>0</v>
      </c>
      <c r="L9" s="9">
        <f>Table2428308910131415161718123942434445[[#This Row],[Sales Qty]]*O8</f>
        <v>0</v>
      </c>
      <c r="M9" s="9">
        <f>M8+Table2428308910131415161718123942434445[[#This Row],[Total Purchase Amount]]-Table2428308910131415161718123942434445[[#This Row],[Principal Cost As per  NFRS (In case of Sales)]]</f>
        <v>12046030</v>
      </c>
      <c r="N9" s="9">
        <f>N8+Table2428308910131415161718123942434445[[#This Row],[Purchase QTY]]-Table2428308910131415161718123942434445[[#This Row],[Sales Qty]]</f>
        <v>10030</v>
      </c>
      <c r="O9" s="42">
        <f>IFERROR(Table2428308910131415161718123942434445[[#This Row],[TC AP NFRS]]/Table2428308910131415161718123942434445[[#This Row],[Unit Sum]],0)</f>
        <v>1201</v>
      </c>
      <c r="P9" s="10">
        <f>Table2428308910131415161718123942434445[[#This Row],[Sales Amt]]-Table2428308910131415161718123942434445[[#This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9640250.2479999997</v>
      </c>
      <c r="AC9" s="20">
        <f t="shared" ref="AC9:AC17" si="6">IFERROR(AB9/N9,0)</f>
        <v>961.14159999999993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IF(Table2428308910131415161718123942434445[[#This Row],[SPPU]]&gt;=0,0,Table2428308910131415161718123942434445[[#This Row],[Total Purchase Amount]]/Table2428308910131415161718123942434445[[#This Row],[Purchase QTY]])</f>
        <v>0</v>
      </c>
      <c r="H10" s="9"/>
      <c r="I10" s="9">
        <v>0</v>
      </c>
      <c r="J10" s="9">
        <f>IFERROR(Table2428308910131415161718123942434445[[#This Row],[Sales Amt]]/Table2428308910131415161718123942434445[[#This Row],[Sales Qty]],0)</f>
        <v>0</v>
      </c>
      <c r="K10" s="9">
        <v>0</v>
      </c>
      <c r="L10" s="9">
        <f>Table2428308910131415161718123942434445[[#This Row],[Sales Qty]]*O9</f>
        <v>0</v>
      </c>
      <c r="M10" s="9">
        <f>M9+Table2428308910131415161718123942434445[[#This Row],[Total Purchase Amount]]-Table2428308910131415161718123942434445[[#This Row],[Principal Cost As per  NFRS (In case of Sales)]]</f>
        <v>12046030</v>
      </c>
      <c r="N10" s="9">
        <f>N9+Table2428308910131415161718123942434445[[#This Row],[Purchase QTY]]-Table2428308910131415161718123942434445[[#This Row],[Sales Qty]]</f>
        <v>10030</v>
      </c>
      <c r="O10" s="42">
        <f>IFERROR(Table2428308910131415161718123942434445[[#This Row],[TC AP NFRS]]/Table2428308910131415161718123942434445[[#This Row],[Unit Sum]],0)</f>
        <v>1201</v>
      </c>
      <c r="P10" s="10">
        <f>Table2428308910131415161718123942434445[[#This Row],[Sales Amt]]-Table2428308910131415161718123942434445[[#This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9640250.2479999997</v>
      </c>
      <c r="AC10" s="20">
        <f t="shared" si="6"/>
        <v>961.14159999999993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IF(Table2428308910131415161718123942434445[[#This Row],[SPPU]]&gt;=0,0,Table2428308910131415161718123942434445[[#This Row],[Total Purchase Amount]]/Table2428308910131415161718123942434445[[#This Row],[Purchase QTY]])</f>
        <v>#DIV/0!</v>
      </c>
      <c r="H11" s="9"/>
      <c r="I11" s="9">
        <v>0</v>
      </c>
      <c r="J11" s="9" t="e">
        <f>Table2428308910131415161718123942434445[[#This Row],[Sales Amt]]/Table2428308910131415161718123942434445[[#This Row],[Sales Qty]]</f>
        <v>#DIV/0!</v>
      </c>
      <c r="K11" s="9">
        <v>0</v>
      </c>
      <c r="L11" s="9">
        <f>Table2428308910131415161718123942434445[[#This Row],[Sales Qty]]*O10</f>
        <v>0</v>
      </c>
      <c r="M11" s="9">
        <f>M10+Table2428308910131415161718123942434445[[#This Row],[Total Purchase Amount]]-Table2428308910131415161718123942434445[[#This Row],[Principal Cost As per  NFRS (In case of Sales)]]</f>
        <v>12046030</v>
      </c>
      <c r="N11" s="9">
        <f>N10+Table2428308910131415161718123942434445[[#This Row],[Purchase QTY]]-Table2428308910131415161718123942434445[[#This Row],[Sales Qty]]</f>
        <v>10030</v>
      </c>
      <c r="O11" s="42">
        <f>IFERROR(Table2428308910131415161718123942434445[[#This Row],[TC AP NFRS]]/Table2428308910131415161718123942434445[[#This Row],[Unit Sum]],0)</f>
        <v>1201</v>
      </c>
      <c r="P11" s="10">
        <f>Table2428308910131415161718123942434445[[#This Row],[Sales Amt]]-Table2428308910131415161718123942434445[[#This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9640250.2479999997</v>
      </c>
      <c r="AC11" s="20">
        <f t="shared" si="6"/>
        <v>961.14159999999993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Table2428308910131415161718123942434445[[#This Row],[Total Purchase Amount]]/Table2428308910131415161718123942434445[[#This Row],[Purchase QTY]]</f>
        <v>#DIV/0!</v>
      </c>
      <c r="H12" s="9">
        <v>0</v>
      </c>
      <c r="I12" s="9">
        <v>0</v>
      </c>
      <c r="J12" s="9">
        <f ca="1">IFERROR(Table2428308910131415161718123942434445[[#This Row],[Sales Amt]]/Table2428308910131415161718123942434445[[#This Row],[Sales Qty]],0)</f>
        <v>0</v>
      </c>
      <c r="K12" s="9">
        <f ca="1">Table2428308910131415161718123942434445[[#This Row],[Sales Qty]]*Table2428308910131415161718123942434445[[#This Row],[SPPU]]</f>
        <v>0</v>
      </c>
      <c r="L12" s="9">
        <f>Table2428308910131415161718123942434445[[#This Row],[Sales Qty]]*O11</f>
        <v>0</v>
      </c>
      <c r="M12" s="9">
        <f>M11+Table2428308910131415161718123942434445[[#This Row],[Total Purchase Amount]]-Table2428308910131415161718123942434445[[#This Row],[Principal Cost As per  NFRS (In case of Sales)]]</f>
        <v>12046030</v>
      </c>
      <c r="N12" s="9">
        <f>N11+Table2428308910131415161718123942434445[[#This Row],[Purchase QTY]]-Table2428308910131415161718123942434445[[#This Row],[Sales Qty]]</f>
        <v>10030</v>
      </c>
      <c r="O12" s="42">
        <f>IFERROR(Table2428308910131415161718123942434445[[#This Row],[TC AP NFRS]]/Table2428308910131415161718123942434445[[#This Row],[Unit Sum]],0)</f>
        <v>1201</v>
      </c>
      <c r="P12" s="10">
        <f ca="1">Table2428308910131415161718123942434445[[#This Row],[Sales Amt]]-Table2428308910131415161718123942434445[[#This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9640250.2479999997</v>
      </c>
      <c r="AC12" s="20">
        <f t="shared" si="6"/>
        <v>961.14159999999993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Table2428308910131415161718123942434445[[#This Row],[Total Purchase Amount]]/Table2428308910131415161718123942434445[[#This Row],[Purchase QTY]]</f>
        <v>#DIV/0!</v>
      </c>
      <c r="H13" s="9">
        <v>0</v>
      </c>
      <c r="I13" s="9">
        <v>0</v>
      </c>
      <c r="J13" s="9">
        <f ca="1">IFERROR(Table2428308910131415161718123942434445[[#This Row],[Sales Amt]]/Table2428308910131415161718123942434445[[#This Row],[Sales Qty]],0)</f>
        <v>0</v>
      </c>
      <c r="K13" s="9">
        <f ca="1">Table2428308910131415161718123942434445[[#This Row],[Sales Qty]]*Table2428308910131415161718123942434445[[#This Row],[SPPU]]</f>
        <v>0</v>
      </c>
      <c r="L13" s="9">
        <f>Table2428308910131415161718123942434445[[#This Row],[Sales Qty]]*O12</f>
        <v>0</v>
      </c>
      <c r="M13" s="9">
        <f>M12+Table2428308910131415161718123942434445[[#This Row],[Total Purchase Amount]]-Table2428308910131415161718123942434445[[#This Row],[Principal Cost As per  NFRS (In case of Sales)]]</f>
        <v>12046030</v>
      </c>
      <c r="N13" s="9">
        <f>N12+Table2428308910131415161718123942434445[[#This Row],[Purchase QTY]]-Table2428308910131415161718123942434445[[#This Row],[Sales Qty]]</f>
        <v>10030</v>
      </c>
      <c r="O13" s="42">
        <f>IFERROR(Table2428308910131415161718123942434445[[#This Row],[TC AP NFRS]]/Table2428308910131415161718123942434445[[#This Row],[Unit Sum]],0)</f>
        <v>1201</v>
      </c>
      <c r="P13" s="10">
        <f ca="1">Table2428308910131415161718123942434445[[#This Row],[Sales Amt]]-Table2428308910131415161718123942434445[[#This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9640250.2479999997</v>
      </c>
      <c r="AC13" s="20">
        <f t="shared" si="6"/>
        <v>961.14159999999993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IF(Table2428308910131415161718123942434445[[#This Row],[SPPU]]&gt;=0,0,Table2428308910131415161718123942434445[[#This Row],[Total Purchase Amount]]/Table2428308910131415161718123942434445[[#This Row],[Purchase QTY]])</f>
        <v>0</v>
      </c>
      <c r="H14" s="9"/>
      <c r="I14" s="9">
        <v>0</v>
      </c>
      <c r="J14" s="9">
        <f>IFERROR(Table2428308910131415161718123942434445[[#This Row],[Sales Amt]]/Table2428308910131415161718123942434445[[#This Row],[Sales Qty]],0)</f>
        <v>0</v>
      </c>
      <c r="K14" s="9">
        <v>0</v>
      </c>
      <c r="L14" s="9">
        <f>Table2428308910131415161718123942434445[[#This Row],[Sales Qty]]*O12</f>
        <v>0</v>
      </c>
      <c r="M14" s="9">
        <f>M13+Table2428308910131415161718123942434445[[#This Row],[Total Purchase Amount]]-Table2428308910131415161718123942434445[[#This Row],[Principal Cost As per  NFRS (In case of Sales)]]</f>
        <v>12046030</v>
      </c>
      <c r="N14" s="9">
        <f>N13+Table2428308910131415161718123942434445[[#This Row],[Purchase QTY]]-Table2428308910131415161718123942434445[[#This Row],[Sales Qty]]</f>
        <v>10030</v>
      </c>
      <c r="O14" s="42">
        <f>IFERROR(Table2428308910131415161718123942434445[[#This Row],[TC AP NFRS]]/Table2428308910131415161718123942434445[[#This Row],[Unit Sum]],0)</f>
        <v>1201</v>
      </c>
      <c r="P14" s="10">
        <f>Table2428308910131415161718123942434445[[#This Row],[Sales Amt]]-Table2428308910131415161718123942434445[[#This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9640250.2479999997</v>
      </c>
      <c r="AC14" s="20">
        <f t="shared" si="6"/>
        <v>961.14159999999993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IF(Table2428308910131415161718123942434445[[#This Row],[SPPU]]&gt;=0,0,Table2428308910131415161718123942434445[[#This Row],[Total Purchase Amount]]/Table2428308910131415161718123942434445[[#This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Table2428308910131415161718123942434445[[#This Row],[Sales Qty]]*O14</f>
        <v>0</v>
      </c>
      <c r="M15" s="9">
        <f>M14+Table2428308910131415161718123942434445[[#This Row],[Total Purchase Amount]]-Table2428308910131415161718123942434445[[#This Row],[Principal Cost As per  NFRS (In case of Sales)]]</f>
        <v>12046030</v>
      </c>
      <c r="N15" s="9">
        <f>N14+Table2428308910131415161718123942434445[[#This Row],[Purchase QTY]]-Table2428308910131415161718123942434445[[#This Row],[Sales Qty]]</f>
        <v>10030</v>
      </c>
      <c r="O15" s="42">
        <f>IFERROR(Table2428308910131415161718123942434445[[#This Row],[TC AP NFRS]]/Table2428308910131415161718123942434445[[#This Row],[Unit Sum]],0)</f>
        <v>1201</v>
      </c>
      <c r="P15" s="10">
        <f>Table2428308910131415161718123942434445[[#This Row],[Sales Amt]]-Table2428308910131415161718123942434445[[#This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9640250.2479999997</v>
      </c>
      <c r="AC15" s="20">
        <f t="shared" si="6"/>
        <v>961.14159999999993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IF(Table2428308910131415161718123942434445[[#This Row],[SPPU]]&gt;=0,0,Table2428308910131415161718123942434445[[#This Row],[Total Purchase Amount]]/Table2428308910131415161718123942434445[[#This Row],[Purchase QTY]])</f>
        <v>#DIV/0!</v>
      </c>
      <c r="H16" s="9"/>
      <c r="I16" s="9">
        <v>0</v>
      </c>
      <c r="J16" s="9" t="e">
        <f>Table2428308910131415161718123942434445[[#This Row],[Sales Amt]]/Table2428308910131415161718123942434445[[#This Row],[Sales Qty]]</f>
        <v>#DIV/0!</v>
      </c>
      <c r="K16" s="9">
        <v>0</v>
      </c>
      <c r="L16" s="9">
        <f>Table2428308910131415161718123942434445[[#This Row],[Sales Qty]]*O15</f>
        <v>0</v>
      </c>
      <c r="M16" s="9">
        <f>M15+Table2428308910131415161718123942434445[[#This Row],[Total Purchase Amount]]-Table2428308910131415161718123942434445[[#This Row],[Principal Cost As per  NFRS (In case of Sales)]]</f>
        <v>12046030</v>
      </c>
      <c r="N16" s="9">
        <f>N15+Table2428308910131415161718123942434445[[#This Row],[Purchase QTY]]-Table2428308910131415161718123942434445[[#This Row],[Sales Qty]]</f>
        <v>10030</v>
      </c>
      <c r="O16" s="42">
        <f>IFERROR(Table2428308910131415161718123942434445[[#This Row],[TC AP NFRS]]/Table2428308910131415161718123942434445[[#This Row],[Unit Sum]],0)</f>
        <v>1201</v>
      </c>
      <c r="P16" s="10">
        <f>Table2428308910131415161718123942434445[[#This Row],[Sales Amt]]-Table2428308910131415161718123942434445[[#This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9640250.2479999997</v>
      </c>
      <c r="AC16" s="20">
        <f t="shared" si="6"/>
        <v>961.14159999999993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10030</v>
      </c>
      <c r="G17" s="15"/>
      <c r="H17" s="15">
        <f ca="1">SUM(INDIRECT("h4:h"&amp;ROW()-1))</f>
        <v>12046030</v>
      </c>
      <c r="I17" s="15">
        <f ca="1">SUM(INDIRECT("i4:i"&amp;ROW()-1))</f>
        <v>0</v>
      </c>
      <c r="J17" s="15" t="e">
        <f ca="1">Table2428308910131415161718123942434445[[#This Row],[Sales Amt]]/Table2428308910131415161718123942434445[[#This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Table2428308910131415161718123942434445[[#This Row],[Total Purchase Amount]]-Table2428308910131415161718123942434445[[#This Row],[Principal Cost As per  NFRS (In case of Sales)]]</f>
        <v>12046030</v>
      </c>
      <c r="N17" s="15">
        <f ca="1">Table2428308910131415161718123942434445[[#This Row],[Purchase QTY]]-Table2428308910131415161718123942434445[[#This Row],[Sales Qty]]</f>
        <v>10030</v>
      </c>
      <c r="O17" s="43">
        <f ca="1">IFERROR(Table2428308910131415161718123942434445[[#This Row],[TC AP NFRS]]/Table2428308910131415161718123942434445[[#This Row],[Unit Sum]],0)</f>
        <v>1201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9640250.2479999997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9640250.2479999997</v>
      </c>
      <c r="AC17" s="24">
        <f t="shared" ca="1" si="6"/>
        <v>961.14159999999993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697</v>
      </c>
      <c r="C21" s="97"/>
      <c r="D21" s="98">
        <v>45886</v>
      </c>
      <c r="E21" s="99" t="s">
        <v>19</v>
      </c>
      <c r="F21" s="59">
        <v>10030</v>
      </c>
      <c r="G21" s="59"/>
      <c r="H21" s="59">
        <v>12046030</v>
      </c>
      <c r="I21" s="59"/>
      <c r="J21" s="59"/>
      <c r="K21" s="59"/>
      <c r="L21" s="59"/>
      <c r="M21" s="59">
        <v>12046030</v>
      </c>
      <c r="N21" s="59">
        <v>10030</v>
      </c>
      <c r="O21" s="59">
        <v>1201</v>
      </c>
      <c r="P21" s="59"/>
      <c r="Q21" s="59"/>
      <c r="R21" s="59"/>
      <c r="S21" s="59"/>
      <c r="T21" s="59"/>
      <c r="U21" s="59">
        <v>9640250.2479999997</v>
      </c>
      <c r="V21" s="59"/>
      <c r="W21" s="59"/>
      <c r="X21" s="59"/>
      <c r="Y21" s="59"/>
      <c r="Z21" s="59"/>
      <c r="AA21" s="59"/>
      <c r="AB21" s="59">
        <v>9640250.2479999997</v>
      </c>
      <c r="AC21" s="59">
        <v>961.14159999999993</v>
      </c>
      <c r="AD21" s="59">
        <v>0</v>
      </c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C0690C-FB57-497B-8005-99DEC1C86470}">
          <x14:formula1>
            <xm:f>VALIDATION!$A$2:$A$7</xm:f>
          </x14:formula1>
          <xm:sqref>E7:E16 E21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6F34-49E4-430C-B85E-2D40EDE52187}">
  <dimension ref="A1:AE21"/>
  <sheetViews>
    <sheetView topLeftCell="N1" zoomScaleNormal="100" workbookViewId="0">
      <selection activeCell="A19" sqref="A19:AD20"/>
    </sheetView>
  </sheetViews>
  <sheetFormatPr defaultRowHeight="15" x14ac:dyDescent="0.25"/>
  <cols>
    <col min="1" max="1" width="4.1406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634</v>
      </c>
      <c r="C7" s="6"/>
      <c r="D7" s="7">
        <v>45855</v>
      </c>
      <c r="E7" s="8" t="s">
        <v>19</v>
      </c>
      <c r="F7" s="9">
        <v>105</v>
      </c>
      <c r="G7" s="9">
        <f>Table242830891013141516171812394243444546[[#This Row],[Total Purchase Amount]]/Table242830891013141516171812394243444546[[#This Row],[Purchase QTY]]</f>
        <v>1080</v>
      </c>
      <c r="H7" s="9">
        <v>113400</v>
      </c>
      <c r="I7" s="9"/>
      <c r="J7" s="9"/>
      <c r="K7" s="9"/>
      <c r="L7" s="9"/>
      <c r="M7" s="9">
        <f>Table242830891013141516171812394243444546[[#This Row],[Total Purchase Amount]]</f>
        <v>113400</v>
      </c>
      <c r="N7" s="9">
        <f>IF(Table242830891013141516171812394243444546[[#This Row],[Txn Type]]="opening",Table242830891013141516171812394243444546[[#This Row],[Purchase QTY]],"Error")</f>
        <v>105</v>
      </c>
      <c r="O7" s="42">
        <f>IFERROR(Table242830891013141516171812394243444546[[#This Row],[TC AP NFRS]]/Table242830891013141516171812394243444546[[#This Row],[Unit Sum]],0)</f>
        <v>1080</v>
      </c>
      <c r="P7" s="10">
        <f>Table242830891013141516171812394243444546[[#This Row],[Sales Amt]]-Table242830891013141516171812394243444546[[#This Row],[Principal Cost As per  NFRS (In case of Sales)]]</f>
        <v>0</v>
      </c>
      <c r="R7" s="17"/>
      <c r="S7" s="17"/>
      <c r="T7" s="20">
        <f>R7+S7</f>
        <v>0</v>
      </c>
      <c r="U7" s="20">
        <f>AB7</f>
        <v>108268.91249999999</v>
      </c>
      <c r="V7" s="20"/>
      <c r="W7" s="20"/>
      <c r="X7" s="20"/>
      <c r="Y7" s="46"/>
      <c r="Z7" s="46"/>
      <c r="AA7" s="46"/>
      <c r="AB7" s="46">
        <f>F7*AC7</f>
        <v>108268.91249999999</v>
      </c>
      <c r="AC7" s="46">
        <v>1031.1324999999999</v>
      </c>
      <c r="AD7" s="58">
        <f>Z7-AA7+Y7</f>
        <v>0</v>
      </c>
    </row>
    <row r="8" spans="1:31" x14ac:dyDescent="0.25">
      <c r="A8" s="5">
        <f>A7+1</f>
        <v>2</v>
      </c>
      <c r="B8" s="6" t="str">
        <f>B7</f>
        <v>GBILD86/87</v>
      </c>
      <c r="C8" s="6"/>
      <c r="D8" s="7"/>
      <c r="E8" s="8"/>
      <c r="F8" s="9">
        <v>0</v>
      </c>
      <c r="G8" s="9">
        <f>IFERROR(Table242830891013141516171812394243444546[[#This Row],[Total Purchase Amount]]/Table242830891013141516171812394243444546[[#This Row],[Purchase QTY]],0)</f>
        <v>0</v>
      </c>
      <c r="H8" s="9">
        <v>0</v>
      </c>
      <c r="I8" s="9">
        <v>0</v>
      </c>
      <c r="J8" s="9" t="e">
        <f>Table242830891013141516171812394243444546[[#This Row],[Sales Amt]]/Table242830891013141516171812394243444546[[#This Row],[Sales Qty]]</f>
        <v>#DIV/0!</v>
      </c>
      <c r="K8" s="9">
        <v>0</v>
      </c>
      <c r="L8" s="9">
        <f>Table242830891013141516171812394243444546[[#This Row],[Sales Qty]]*O7</f>
        <v>0</v>
      </c>
      <c r="M8" s="9">
        <f>M7+Table242830891013141516171812394243444546[[#This Row],[Total Purchase Amount]]-Table242830891013141516171812394243444546[[#This Row],[Principal Cost As per  NFRS (In case of Sales)]]</f>
        <v>113400</v>
      </c>
      <c r="N8" s="9">
        <f>N7+Table242830891013141516171812394243444546[[#This Row],[Purchase QTY]]-Table242830891013141516171812394243444546[[#This Row],[Sales Qty]]</f>
        <v>105</v>
      </c>
      <c r="O8" s="42">
        <f>IFERROR(Table242830891013141516171812394243444546[[#This Row],[TC AP NFRS]]/Table242830891013141516171812394243444546[[#This Row],[Unit Sum]],0)</f>
        <v>1080</v>
      </c>
      <c r="P8" s="10">
        <f>Table242830891013141516171812394243444546[[#This Row],[Sales Amt]]-Table242830891013141516171812394243444546[[#This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108268.91249999999</v>
      </c>
      <c r="AC8" s="20">
        <f>IFERROR(AB8/N8,0)</f>
        <v>1031.1324999999999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IF(Table242830891013141516171812394243444546[[#This Row],[SPPU]]&gt;=0,0,Table242830891013141516171812394243444546[[#This Row],[Total Purchase Amount]]/Table242830891013141516171812394243444546[[#This Row],[Purchase QTY]])</f>
        <v>0</v>
      </c>
      <c r="H9" s="9">
        <v>0</v>
      </c>
      <c r="I9" s="9">
        <v>0</v>
      </c>
      <c r="J9" s="9">
        <f>IFERROR(Table242830891013141516171812394243444546[[#This Row],[Sales Amt]]/Table242830891013141516171812394243444546[[#This Row],[Sales Qty]],0)</f>
        <v>0</v>
      </c>
      <c r="K9" s="9">
        <v>0</v>
      </c>
      <c r="L9" s="9">
        <f>Table242830891013141516171812394243444546[[#This Row],[Sales Qty]]*O8</f>
        <v>0</v>
      </c>
      <c r="M9" s="9">
        <f>M8+Table242830891013141516171812394243444546[[#This Row],[Total Purchase Amount]]-Table242830891013141516171812394243444546[[#This Row],[Principal Cost As per  NFRS (In case of Sales)]]</f>
        <v>113400</v>
      </c>
      <c r="N9" s="9">
        <f>N8+Table242830891013141516171812394243444546[[#This Row],[Purchase QTY]]-Table242830891013141516171812394243444546[[#This Row],[Sales Qty]]</f>
        <v>105</v>
      </c>
      <c r="O9" s="42">
        <f>IFERROR(Table242830891013141516171812394243444546[[#This Row],[TC AP NFRS]]/Table242830891013141516171812394243444546[[#This Row],[Unit Sum]],0)</f>
        <v>1080</v>
      </c>
      <c r="P9" s="10">
        <f>Table242830891013141516171812394243444546[[#This Row],[Sales Amt]]-Table242830891013141516171812394243444546[[#This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108268.91249999999</v>
      </c>
      <c r="AC9" s="20">
        <f t="shared" ref="AC9:AC17" si="6">IFERROR(AB9/N9,0)</f>
        <v>1031.1324999999999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IF(Table242830891013141516171812394243444546[[#This Row],[SPPU]]&gt;=0,0,Table242830891013141516171812394243444546[[#This Row],[Total Purchase Amount]]/Table242830891013141516171812394243444546[[#This Row],[Purchase QTY]])</f>
        <v>0</v>
      </c>
      <c r="H10" s="9"/>
      <c r="I10" s="9">
        <v>0</v>
      </c>
      <c r="J10" s="9">
        <f>IFERROR(Table242830891013141516171812394243444546[[#This Row],[Sales Amt]]/Table242830891013141516171812394243444546[[#This Row],[Sales Qty]],0)</f>
        <v>0</v>
      </c>
      <c r="K10" s="9">
        <v>0</v>
      </c>
      <c r="L10" s="9">
        <f>Table242830891013141516171812394243444546[[#This Row],[Sales Qty]]*O9</f>
        <v>0</v>
      </c>
      <c r="M10" s="9">
        <f>M9+Table242830891013141516171812394243444546[[#This Row],[Total Purchase Amount]]-Table242830891013141516171812394243444546[[#This Row],[Principal Cost As per  NFRS (In case of Sales)]]</f>
        <v>113400</v>
      </c>
      <c r="N10" s="9">
        <f>N9+Table242830891013141516171812394243444546[[#This Row],[Purchase QTY]]-Table242830891013141516171812394243444546[[#This Row],[Sales Qty]]</f>
        <v>105</v>
      </c>
      <c r="O10" s="42">
        <f>IFERROR(Table242830891013141516171812394243444546[[#This Row],[TC AP NFRS]]/Table242830891013141516171812394243444546[[#This Row],[Unit Sum]],0)</f>
        <v>1080</v>
      </c>
      <c r="P10" s="10">
        <f>Table242830891013141516171812394243444546[[#This Row],[Sales Amt]]-Table242830891013141516171812394243444546[[#This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108268.91249999999</v>
      </c>
      <c r="AC10" s="20">
        <f t="shared" si="6"/>
        <v>1031.1324999999999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IF(Table242830891013141516171812394243444546[[#This Row],[SPPU]]&gt;=0,0,Table242830891013141516171812394243444546[[#This Row],[Total Purchase Amount]]/Table242830891013141516171812394243444546[[#This Row],[Purchase QTY]])</f>
        <v>#DIV/0!</v>
      </c>
      <c r="H11" s="9"/>
      <c r="I11" s="9">
        <v>0</v>
      </c>
      <c r="J11" s="9" t="e">
        <f>Table242830891013141516171812394243444546[[#This Row],[Sales Amt]]/Table242830891013141516171812394243444546[[#This Row],[Sales Qty]]</f>
        <v>#DIV/0!</v>
      </c>
      <c r="K11" s="9">
        <v>0</v>
      </c>
      <c r="L11" s="9">
        <f>Table242830891013141516171812394243444546[[#This Row],[Sales Qty]]*O10</f>
        <v>0</v>
      </c>
      <c r="M11" s="9">
        <f>M10+Table242830891013141516171812394243444546[[#This Row],[Total Purchase Amount]]-Table242830891013141516171812394243444546[[#This Row],[Principal Cost As per  NFRS (In case of Sales)]]</f>
        <v>113400</v>
      </c>
      <c r="N11" s="9">
        <f>N10+Table242830891013141516171812394243444546[[#This Row],[Purchase QTY]]-Table242830891013141516171812394243444546[[#This Row],[Sales Qty]]</f>
        <v>105</v>
      </c>
      <c r="O11" s="42">
        <f>IFERROR(Table242830891013141516171812394243444546[[#This Row],[TC AP NFRS]]/Table242830891013141516171812394243444546[[#This Row],[Unit Sum]],0)</f>
        <v>1080</v>
      </c>
      <c r="P11" s="10">
        <f>Table242830891013141516171812394243444546[[#This Row],[Sales Amt]]-Table242830891013141516171812394243444546[[#This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108268.91249999999</v>
      </c>
      <c r="AC11" s="20">
        <f t="shared" si="6"/>
        <v>1031.1324999999999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Table242830891013141516171812394243444546[[#This Row],[Total Purchase Amount]]/Table242830891013141516171812394243444546[[#This Row],[Purchase QTY]]</f>
        <v>#DIV/0!</v>
      </c>
      <c r="H12" s="9">
        <v>0</v>
      </c>
      <c r="I12" s="9">
        <v>0</v>
      </c>
      <c r="J12" s="9">
        <f ca="1">IFERROR(Table242830891013141516171812394243444546[[#This Row],[Sales Amt]]/Table242830891013141516171812394243444546[[#This Row],[Sales Qty]],0)</f>
        <v>0</v>
      </c>
      <c r="K12" s="9">
        <f ca="1">Table242830891013141516171812394243444546[[#This Row],[Sales Qty]]*Table242830891013141516171812394243444546[[#This Row],[SPPU]]</f>
        <v>0</v>
      </c>
      <c r="L12" s="9">
        <f>Table242830891013141516171812394243444546[[#This Row],[Sales Qty]]*O11</f>
        <v>0</v>
      </c>
      <c r="M12" s="9">
        <f>M11+Table242830891013141516171812394243444546[[#This Row],[Total Purchase Amount]]-Table242830891013141516171812394243444546[[#This Row],[Principal Cost As per  NFRS (In case of Sales)]]</f>
        <v>113400</v>
      </c>
      <c r="N12" s="9">
        <f>N11+Table242830891013141516171812394243444546[[#This Row],[Purchase QTY]]-Table242830891013141516171812394243444546[[#This Row],[Sales Qty]]</f>
        <v>105</v>
      </c>
      <c r="O12" s="42">
        <f>IFERROR(Table242830891013141516171812394243444546[[#This Row],[TC AP NFRS]]/Table242830891013141516171812394243444546[[#This Row],[Unit Sum]],0)</f>
        <v>1080</v>
      </c>
      <c r="P12" s="10">
        <f ca="1">Table242830891013141516171812394243444546[[#This Row],[Sales Amt]]-Table242830891013141516171812394243444546[[#This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108268.91249999999</v>
      </c>
      <c r="AC12" s="20">
        <f t="shared" si="6"/>
        <v>1031.1324999999999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Table242830891013141516171812394243444546[[#This Row],[Total Purchase Amount]]/Table242830891013141516171812394243444546[[#This Row],[Purchase QTY]]</f>
        <v>#DIV/0!</v>
      </c>
      <c r="H13" s="9">
        <v>0</v>
      </c>
      <c r="I13" s="9">
        <v>0</v>
      </c>
      <c r="J13" s="9">
        <f ca="1">IFERROR(Table242830891013141516171812394243444546[[#This Row],[Sales Amt]]/Table242830891013141516171812394243444546[[#This Row],[Sales Qty]],0)</f>
        <v>0</v>
      </c>
      <c r="K13" s="9">
        <f ca="1">Table242830891013141516171812394243444546[[#This Row],[Sales Qty]]*Table242830891013141516171812394243444546[[#This Row],[SPPU]]</f>
        <v>0</v>
      </c>
      <c r="L13" s="9">
        <f>Table242830891013141516171812394243444546[[#This Row],[Sales Qty]]*O12</f>
        <v>0</v>
      </c>
      <c r="M13" s="9">
        <f>M12+Table242830891013141516171812394243444546[[#This Row],[Total Purchase Amount]]-Table242830891013141516171812394243444546[[#This Row],[Principal Cost As per  NFRS (In case of Sales)]]</f>
        <v>113400</v>
      </c>
      <c r="N13" s="9">
        <f>N12+Table242830891013141516171812394243444546[[#This Row],[Purchase QTY]]-Table242830891013141516171812394243444546[[#This Row],[Sales Qty]]</f>
        <v>105</v>
      </c>
      <c r="O13" s="42">
        <f>IFERROR(Table242830891013141516171812394243444546[[#This Row],[TC AP NFRS]]/Table242830891013141516171812394243444546[[#This Row],[Unit Sum]],0)</f>
        <v>1080</v>
      </c>
      <c r="P13" s="10">
        <f ca="1">Table242830891013141516171812394243444546[[#This Row],[Sales Amt]]-Table242830891013141516171812394243444546[[#This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108268.91249999999</v>
      </c>
      <c r="AC13" s="20">
        <f t="shared" si="6"/>
        <v>1031.1324999999999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IF(Table242830891013141516171812394243444546[[#This Row],[SPPU]]&gt;=0,0,Table242830891013141516171812394243444546[[#This Row],[Total Purchase Amount]]/Table242830891013141516171812394243444546[[#This Row],[Purchase QTY]])</f>
        <v>0</v>
      </c>
      <c r="H14" s="9"/>
      <c r="I14" s="9">
        <v>0</v>
      </c>
      <c r="J14" s="9">
        <f>IFERROR(Table242830891013141516171812394243444546[[#This Row],[Sales Amt]]/Table242830891013141516171812394243444546[[#This Row],[Sales Qty]],0)</f>
        <v>0</v>
      </c>
      <c r="K14" s="9">
        <v>0</v>
      </c>
      <c r="L14" s="9">
        <f>Table242830891013141516171812394243444546[[#This Row],[Sales Qty]]*O12</f>
        <v>0</v>
      </c>
      <c r="M14" s="9">
        <f>M13+Table242830891013141516171812394243444546[[#This Row],[Total Purchase Amount]]-Table242830891013141516171812394243444546[[#This Row],[Principal Cost As per  NFRS (In case of Sales)]]</f>
        <v>113400</v>
      </c>
      <c r="N14" s="9">
        <f>N13+Table242830891013141516171812394243444546[[#This Row],[Purchase QTY]]-Table242830891013141516171812394243444546[[#This Row],[Sales Qty]]</f>
        <v>105</v>
      </c>
      <c r="O14" s="42">
        <f>IFERROR(Table242830891013141516171812394243444546[[#This Row],[TC AP NFRS]]/Table242830891013141516171812394243444546[[#This Row],[Unit Sum]],0)</f>
        <v>1080</v>
      </c>
      <c r="P14" s="10">
        <f>Table242830891013141516171812394243444546[[#This Row],[Sales Amt]]-Table242830891013141516171812394243444546[[#This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108268.91249999999</v>
      </c>
      <c r="AC14" s="20">
        <f t="shared" si="6"/>
        <v>1031.1324999999999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IF(Table242830891013141516171812394243444546[[#This Row],[SPPU]]&gt;=0,0,Table242830891013141516171812394243444546[[#This Row],[Total Purchase Amount]]/Table242830891013141516171812394243444546[[#This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Table242830891013141516171812394243444546[[#This Row],[Sales Qty]]*O14</f>
        <v>0</v>
      </c>
      <c r="M15" s="9">
        <f>M14+Table242830891013141516171812394243444546[[#This Row],[Total Purchase Amount]]-Table242830891013141516171812394243444546[[#This Row],[Principal Cost As per  NFRS (In case of Sales)]]</f>
        <v>113400</v>
      </c>
      <c r="N15" s="9">
        <f>N14+Table242830891013141516171812394243444546[[#This Row],[Purchase QTY]]-Table242830891013141516171812394243444546[[#This Row],[Sales Qty]]</f>
        <v>105</v>
      </c>
      <c r="O15" s="42">
        <f>IFERROR(Table242830891013141516171812394243444546[[#This Row],[TC AP NFRS]]/Table242830891013141516171812394243444546[[#This Row],[Unit Sum]],0)</f>
        <v>1080</v>
      </c>
      <c r="P15" s="10">
        <f>Table242830891013141516171812394243444546[[#This Row],[Sales Amt]]-Table242830891013141516171812394243444546[[#This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108268.91249999999</v>
      </c>
      <c r="AC15" s="20">
        <f t="shared" si="6"/>
        <v>1031.1324999999999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IF(Table242830891013141516171812394243444546[[#This Row],[SPPU]]&gt;=0,0,Table242830891013141516171812394243444546[[#This Row],[Total Purchase Amount]]/Table242830891013141516171812394243444546[[#This Row],[Purchase QTY]])</f>
        <v>#DIV/0!</v>
      </c>
      <c r="H16" s="9"/>
      <c r="I16" s="9">
        <v>0</v>
      </c>
      <c r="J16" s="9" t="e">
        <f>Table242830891013141516171812394243444546[[#This Row],[Sales Amt]]/Table242830891013141516171812394243444546[[#This Row],[Sales Qty]]</f>
        <v>#DIV/0!</v>
      </c>
      <c r="K16" s="9">
        <v>0</v>
      </c>
      <c r="L16" s="9">
        <f>Table242830891013141516171812394243444546[[#This Row],[Sales Qty]]*O15</f>
        <v>0</v>
      </c>
      <c r="M16" s="9">
        <f>M15+Table242830891013141516171812394243444546[[#This Row],[Total Purchase Amount]]-Table242830891013141516171812394243444546[[#This Row],[Principal Cost As per  NFRS (In case of Sales)]]</f>
        <v>113400</v>
      </c>
      <c r="N16" s="9">
        <f>N15+Table242830891013141516171812394243444546[[#This Row],[Purchase QTY]]-Table242830891013141516171812394243444546[[#This Row],[Sales Qty]]</f>
        <v>105</v>
      </c>
      <c r="O16" s="42">
        <f>IFERROR(Table242830891013141516171812394243444546[[#This Row],[TC AP NFRS]]/Table242830891013141516171812394243444546[[#This Row],[Unit Sum]],0)</f>
        <v>1080</v>
      </c>
      <c r="P16" s="10">
        <f>Table242830891013141516171812394243444546[[#This Row],[Sales Amt]]-Table242830891013141516171812394243444546[[#This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108268.91249999999</v>
      </c>
      <c r="AC16" s="20">
        <f t="shared" si="6"/>
        <v>1031.1324999999999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105</v>
      </c>
      <c r="G17" s="15"/>
      <c r="H17" s="15">
        <f ca="1">SUM(INDIRECT("h4:h"&amp;ROW()-1))</f>
        <v>113400</v>
      </c>
      <c r="I17" s="15">
        <f ca="1">SUM(INDIRECT("i4:i"&amp;ROW()-1))</f>
        <v>0</v>
      </c>
      <c r="J17" s="15" t="e">
        <f ca="1">Table242830891013141516171812394243444546[[#This Row],[Sales Amt]]/Table242830891013141516171812394243444546[[#This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Table242830891013141516171812394243444546[[#This Row],[Total Purchase Amount]]-Table242830891013141516171812394243444546[[#This Row],[Principal Cost As per  NFRS (In case of Sales)]]</f>
        <v>113400</v>
      </c>
      <c r="N17" s="15">
        <f ca="1">Table242830891013141516171812394243444546[[#This Row],[Purchase QTY]]-Table242830891013141516171812394243444546[[#This Row],[Sales Qty]]</f>
        <v>105</v>
      </c>
      <c r="O17" s="43">
        <f ca="1">IFERROR(Table242830891013141516171812394243444546[[#This Row],[TC AP NFRS]]/Table242830891013141516171812394243444546[[#This Row],[Unit Sum]],0)</f>
        <v>1080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108268.91249999999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108268.91249999999</v>
      </c>
      <c r="AC17" s="24">
        <f t="shared" ca="1" si="6"/>
        <v>1031.1324999999999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634</v>
      </c>
      <c r="C21" s="97"/>
      <c r="D21" s="98">
        <v>45886</v>
      </c>
      <c r="E21" s="99" t="s">
        <v>19</v>
      </c>
      <c r="F21" s="59">
        <v>105</v>
      </c>
      <c r="G21" s="59"/>
      <c r="H21" s="59">
        <v>113400</v>
      </c>
      <c r="I21" s="59"/>
      <c r="J21" s="59"/>
      <c r="K21" s="59"/>
      <c r="L21" s="59"/>
      <c r="M21" s="59">
        <v>113400</v>
      </c>
      <c r="N21" s="59">
        <v>105</v>
      </c>
      <c r="O21" s="59">
        <v>1080</v>
      </c>
      <c r="P21" s="59"/>
      <c r="Q21" s="59"/>
      <c r="R21" s="59"/>
      <c r="S21" s="59"/>
      <c r="T21" s="59"/>
      <c r="U21" s="59">
        <v>108268.91249999999</v>
      </c>
      <c r="V21" s="59"/>
      <c r="W21" s="59"/>
      <c r="X21" s="59"/>
      <c r="Y21" s="59"/>
      <c r="Z21" s="59"/>
      <c r="AA21" s="59"/>
      <c r="AB21" s="59">
        <v>108268.91249999999</v>
      </c>
      <c r="AC21" s="59">
        <v>1031.1324999999999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ACC302-47CB-4C05-85FC-8E6C0FB9A704}">
          <x14:formula1>
            <xm:f>VALIDATION!$A$2:$A$7</xm:f>
          </x14:formula1>
          <xm:sqref>E7:E16 E21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08BE-3A1A-415A-9C38-C546C5FD5069}">
  <dimension ref="A1:AE21"/>
  <sheetViews>
    <sheetView zoomScaleNormal="100" workbookViewId="0">
      <selection activeCell="AD19" sqref="A19:AD20"/>
    </sheetView>
  </sheetViews>
  <sheetFormatPr defaultRowHeight="15" x14ac:dyDescent="0.25"/>
  <cols>
    <col min="1" max="1" width="2.57031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609</v>
      </c>
      <c r="C7" s="6"/>
      <c r="D7" s="7">
        <v>45855</v>
      </c>
      <c r="E7" s="8" t="s">
        <v>19</v>
      </c>
      <c r="F7" s="9">
        <v>25</v>
      </c>
      <c r="G7" s="9">
        <f>Table24283089101314151617181239424344454647[[#This Row],[Total Purchase Amount]]/Table24283089101314151617181239424344454647[[#This Row],[Purchase QTY]]</f>
        <v>1097</v>
      </c>
      <c r="H7" s="9">
        <v>27425</v>
      </c>
      <c r="I7" s="9"/>
      <c r="J7" s="9"/>
      <c r="K7" s="9"/>
      <c r="L7" s="9"/>
      <c r="M7" s="9">
        <f>Table24283089101314151617181239424344454647[[#This Row],[Total Purchase Amount]]</f>
        <v>27425</v>
      </c>
      <c r="N7" s="9">
        <f>IF(Table24283089101314151617181239424344454647[[#This Row],[Txn Type]]="opening",Table24283089101314151617181239424344454647[[#This Row],[Purchase QTY]],"Error")</f>
        <v>25</v>
      </c>
      <c r="O7" s="42">
        <f>IFERROR(Table24283089101314151617181239424344454647[[#This Row],[TC AP NFRS]]/Table24283089101314151617181239424344454647[[#This Row],[Unit Sum]],0)</f>
        <v>1097</v>
      </c>
      <c r="P7" s="10">
        <f>Table24283089101314151617181239424344454647[[#This Row],[Sales Amt]]-Table24283089101314151617181239424344454647[[#This Row],[Principal Cost As per  NFRS (In case of Sales)]]</f>
        <v>0</v>
      </c>
      <c r="R7" s="17"/>
      <c r="S7" s="17"/>
      <c r="T7" s="20">
        <f>R7+S7</f>
        <v>0</v>
      </c>
      <c r="U7" s="20">
        <f>AB7</f>
        <v>25803.325000000001</v>
      </c>
      <c r="V7" s="20"/>
      <c r="W7" s="20"/>
      <c r="X7" s="20"/>
      <c r="Y7" s="46"/>
      <c r="Z7" s="46"/>
      <c r="AA7" s="46"/>
      <c r="AB7" s="46">
        <f>F7*AC7</f>
        <v>25803.325000000001</v>
      </c>
      <c r="AC7" s="46">
        <v>1032.133</v>
      </c>
      <c r="AD7" s="58">
        <f>Z7-AA7+Y7</f>
        <v>0</v>
      </c>
    </row>
    <row r="8" spans="1:31" x14ac:dyDescent="0.25">
      <c r="A8" s="5">
        <f>A7+1</f>
        <v>2</v>
      </c>
      <c r="B8" s="6" t="str">
        <f>B7</f>
        <v>NMBD87/88</v>
      </c>
      <c r="C8" s="6"/>
      <c r="D8" s="7"/>
      <c r="E8" s="8"/>
      <c r="F8" s="9">
        <v>0</v>
      </c>
      <c r="G8" s="9">
        <f>IFERROR(Table24283089101314151617181239424344454647[[#This Row],[Total Purchase Amount]]/Table24283089101314151617181239424344454647[[#This Row],[Purchase QTY]],0)</f>
        <v>0</v>
      </c>
      <c r="H8" s="9">
        <v>0</v>
      </c>
      <c r="I8" s="9">
        <v>0</v>
      </c>
      <c r="J8" s="9" t="e">
        <f>Table24283089101314151617181239424344454647[[#This Row],[Sales Amt]]/Table24283089101314151617181239424344454647[[#This Row],[Sales Qty]]</f>
        <v>#DIV/0!</v>
      </c>
      <c r="K8" s="9">
        <v>0</v>
      </c>
      <c r="L8" s="9">
        <f>Table24283089101314151617181239424344454647[[#This Row],[Sales Qty]]*O7</f>
        <v>0</v>
      </c>
      <c r="M8" s="9">
        <f>M7+Table24283089101314151617181239424344454647[[#This Row],[Total Purchase Amount]]-Table24283089101314151617181239424344454647[[#This Row],[Principal Cost As per  NFRS (In case of Sales)]]</f>
        <v>27425</v>
      </c>
      <c r="N8" s="9">
        <f>N7+Table24283089101314151617181239424344454647[[#This Row],[Purchase QTY]]-Table24283089101314151617181239424344454647[[#This Row],[Sales Qty]]</f>
        <v>25</v>
      </c>
      <c r="O8" s="42">
        <f>IFERROR(Table24283089101314151617181239424344454647[[#This Row],[TC AP NFRS]]/Table24283089101314151617181239424344454647[[#This Row],[Unit Sum]],0)</f>
        <v>1097</v>
      </c>
      <c r="P8" s="10">
        <f>Table24283089101314151617181239424344454647[[#This Row],[Sales Amt]]-Table24283089101314151617181239424344454647[[#This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25803.325000000001</v>
      </c>
      <c r="AC8" s="20">
        <f>IFERROR(AB8/N8,0)</f>
        <v>1032.133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IF(Table24283089101314151617181239424344454647[[#This Row],[SPPU]]&gt;=0,0,Table24283089101314151617181239424344454647[[#This Row],[Total Purchase Amount]]/Table24283089101314151617181239424344454647[[#This Row],[Purchase QTY]])</f>
        <v>0</v>
      </c>
      <c r="H9" s="9">
        <v>0</v>
      </c>
      <c r="I9" s="9">
        <v>0</v>
      </c>
      <c r="J9" s="9">
        <f>IFERROR(Table24283089101314151617181239424344454647[[#This Row],[Sales Amt]]/Table24283089101314151617181239424344454647[[#This Row],[Sales Qty]],0)</f>
        <v>0</v>
      </c>
      <c r="K9" s="9">
        <v>0</v>
      </c>
      <c r="L9" s="9">
        <f>Table24283089101314151617181239424344454647[[#This Row],[Sales Qty]]*O8</f>
        <v>0</v>
      </c>
      <c r="M9" s="9">
        <f>M8+Table24283089101314151617181239424344454647[[#This Row],[Total Purchase Amount]]-Table24283089101314151617181239424344454647[[#This Row],[Principal Cost As per  NFRS (In case of Sales)]]</f>
        <v>27425</v>
      </c>
      <c r="N9" s="9">
        <f>N8+Table24283089101314151617181239424344454647[[#This Row],[Purchase QTY]]-Table24283089101314151617181239424344454647[[#This Row],[Sales Qty]]</f>
        <v>25</v>
      </c>
      <c r="O9" s="42">
        <f>IFERROR(Table24283089101314151617181239424344454647[[#This Row],[TC AP NFRS]]/Table24283089101314151617181239424344454647[[#This Row],[Unit Sum]],0)</f>
        <v>1097</v>
      </c>
      <c r="P9" s="10">
        <f>Table24283089101314151617181239424344454647[[#This Row],[Sales Amt]]-Table24283089101314151617181239424344454647[[#This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25803.325000000001</v>
      </c>
      <c r="AC9" s="20">
        <f t="shared" ref="AC9:AC17" si="6">IFERROR(AB9/N9,0)</f>
        <v>1032.133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IF(Table24283089101314151617181239424344454647[[#This Row],[SPPU]]&gt;=0,0,Table24283089101314151617181239424344454647[[#This Row],[Total Purchase Amount]]/Table24283089101314151617181239424344454647[[#This Row],[Purchase QTY]])</f>
        <v>0</v>
      </c>
      <c r="H10" s="9"/>
      <c r="I10" s="9">
        <v>0</v>
      </c>
      <c r="J10" s="9">
        <f>IFERROR(Table24283089101314151617181239424344454647[[#This Row],[Sales Amt]]/Table24283089101314151617181239424344454647[[#This Row],[Sales Qty]],0)</f>
        <v>0</v>
      </c>
      <c r="K10" s="9">
        <v>0</v>
      </c>
      <c r="L10" s="9">
        <f>Table24283089101314151617181239424344454647[[#This Row],[Sales Qty]]*O9</f>
        <v>0</v>
      </c>
      <c r="M10" s="9">
        <f>M9+Table24283089101314151617181239424344454647[[#This Row],[Total Purchase Amount]]-Table24283089101314151617181239424344454647[[#This Row],[Principal Cost As per  NFRS (In case of Sales)]]</f>
        <v>27425</v>
      </c>
      <c r="N10" s="9">
        <f>N9+Table24283089101314151617181239424344454647[[#This Row],[Purchase QTY]]-Table24283089101314151617181239424344454647[[#This Row],[Sales Qty]]</f>
        <v>25</v>
      </c>
      <c r="O10" s="42">
        <f>IFERROR(Table24283089101314151617181239424344454647[[#This Row],[TC AP NFRS]]/Table24283089101314151617181239424344454647[[#This Row],[Unit Sum]],0)</f>
        <v>1097</v>
      </c>
      <c r="P10" s="10">
        <f>Table24283089101314151617181239424344454647[[#This Row],[Sales Amt]]-Table24283089101314151617181239424344454647[[#This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25803.325000000001</v>
      </c>
      <c r="AC10" s="20">
        <f t="shared" si="6"/>
        <v>1032.133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IF(Table24283089101314151617181239424344454647[[#This Row],[SPPU]]&gt;=0,0,Table24283089101314151617181239424344454647[[#This Row],[Total Purchase Amount]]/Table24283089101314151617181239424344454647[[#This Row],[Purchase QTY]])</f>
        <v>#DIV/0!</v>
      </c>
      <c r="H11" s="9"/>
      <c r="I11" s="9">
        <v>0</v>
      </c>
      <c r="J11" s="9" t="e">
        <f>Table24283089101314151617181239424344454647[[#This Row],[Sales Amt]]/Table24283089101314151617181239424344454647[[#This Row],[Sales Qty]]</f>
        <v>#DIV/0!</v>
      </c>
      <c r="K11" s="9">
        <v>0</v>
      </c>
      <c r="L11" s="9">
        <f>Table24283089101314151617181239424344454647[[#This Row],[Sales Qty]]*O10</f>
        <v>0</v>
      </c>
      <c r="M11" s="9">
        <f>M10+Table24283089101314151617181239424344454647[[#This Row],[Total Purchase Amount]]-Table24283089101314151617181239424344454647[[#This Row],[Principal Cost As per  NFRS (In case of Sales)]]</f>
        <v>27425</v>
      </c>
      <c r="N11" s="9">
        <f>N10+Table24283089101314151617181239424344454647[[#This Row],[Purchase QTY]]-Table24283089101314151617181239424344454647[[#This Row],[Sales Qty]]</f>
        <v>25</v>
      </c>
      <c r="O11" s="42">
        <f>IFERROR(Table24283089101314151617181239424344454647[[#This Row],[TC AP NFRS]]/Table24283089101314151617181239424344454647[[#This Row],[Unit Sum]],0)</f>
        <v>1097</v>
      </c>
      <c r="P11" s="10">
        <f>Table24283089101314151617181239424344454647[[#This Row],[Sales Amt]]-Table24283089101314151617181239424344454647[[#This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25803.325000000001</v>
      </c>
      <c r="AC11" s="20">
        <f t="shared" si="6"/>
        <v>1032.133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Table24283089101314151617181239424344454647[[#This Row],[Total Purchase Amount]]/Table24283089101314151617181239424344454647[[#This Row],[Purchase QTY]]</f>
        <v>#DIV/0!</v>
      </c>
      <c r="H12" s="9">
        <v>0</v>
      </c>
      <c r="I12" s="9">
        <v>0</v>
      </c>
      <c r="J12" s="9">
        <f ca="1">IFERROR(Table24283089101314151617181239424344454647[[#This Row],[Sales Amt]]/Table24283089101314151617181239424344454647[[#This Row],[Sales Qty]],0)</f>
        <v>0</v>
      </c>
      <c r="K12" s="9">
        <f ca="1">Table24283089101314151617181239424344454647[[#This Row],[Sales Qty]]*Table24283089101314151617181239424344454647[[#This Row],[SPPU]]</f>
        <v>0</v>
      </c>
      <c r="L12" s="9">
        <f>Table24283089101314151617181239424344454647[[#This Row],[Sales Qty]]*O11</f>
        <v>0</v>
      </c>
      <c r="M12" s="9">
        <f>M11+Table24283089101314151617181239424344454647[[#This Row],[Total Purchase Amount]]-Table24283089101314151617181239424344454647[[#This Row],[Principal Cost As per  NFRS (In case of Sales)]]</f>
        <v>27425</v>
      </c>
      <c r="N12" s="9">
        <f>N11+Table24283089101314151617181239424344454647[[#This Row],[Purchase QTY]]-Table24283089101314151617181239424344454647[[#This Row],[Sales Qty]]</f>
        <v>25</v>
      </c>
      <c r="O12" s="42">
        <f>IFERROR(Table24283089101314151617181239424344454647[[#This Row],[TC AP NFRS]]/Table24283089101314151617181239424344454647[[#This Row],[Unit Sum]],0)</f>
        <v>1097</v>
      </c>
      <c r="P12" s="10">
        <f ca="1">Table24283089101314151617181239424344454647[[#This Row],[Sales Amt]]-Table24283089101314151617181239424344454647[[#This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25803.325000000001</v>
      </c>
      <c r="AC12" s="20">
        <f t="shared" si="6"/>
        <v>1032.133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Table24283089101314151617181239424344454647[[#This Row],[Total Purchase Amount]]/Table24283089101314151617181239424344454647[[#This Row],[Purchase QTY]]</f>
        <v>#DIV/0!</v>
      </c>
      <c r="H13" s="9">
        <v>0</v>
      </c>
      <c r="I13" s="9">
        <v>0</v>
      </c>
      <c r="J13" s="9">
        <f ca="1">IFERROR(Table24283089101314151617181239424344454647[[#This Row],[Sales Amt]]/Table24283089101314151617181239424344454647[[#This Row],[Sales Qty]],0)</f>
        <v>0</v>
      </c>
      <c r="K13" s="9">
        <f ca="1">Table24283089101314151617181239424344454647[[#This Row],[Sales Qty]]*Table24283089101314151617181239424344454647[[#This Row],[SPPU]]</f>
        <v>0</v>
      </c>
      <c r="L13" s="9">
        <f>Table24283089101314151617181239424344454647[[#This Row],[Sales Qty]]*O12</f>
        <v>0</v>
      </c>
      <c r="M13" s="9">
        <f>M12+Table24283089101314151617181239424344454647[[#This Row],[Total Purchase Amount]]-Table24283089101314151617181239424344454647[[#This Row],[Principal Cost As per  NFRS (In case of Sales)]]</f>
        <v>27425</v>
      </c>
      <c r="N13" s="9">
        <f>N12+Table24283089101314151617181239424344454647[[#This Row],[Purchase QTY]]-Table24283089101314151617181239424344454647[[#This Row],[Sales Qty]]</f>
        <v>25</v>
      </c>
      <c r="O13" s="42">
        <f>IFERROR(Table24283089101314151617181239424344454647[[#This Row],[TC AP NFRS]]/Table24283089101314151617181239424344454647[[#This Row],[Unit Sum]],0)</f>
        <v>1097</v>
      </c>
      <c r="P13" s="10">
        <f ca="1">Table24283089101314151617181239424344454647[[#This Row],[Sales Amt]]-Table24283089101314151617181239424344454647[[#This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25803.325000000001</v>
      </c>
      <c r="AC13" s="20">
        <f t="shared" si="6"/>
        <v>1032.133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IF(Table24283089101314151617181239424344454647[[#This Row],[SPPU]]&gt;=0,0,Table24283089101314151617181239424344454647[[#This Row],[Total Purchase Amount]]/Table24283089101314151617181239424344454647[[#This Row],[Purchase QTY]])</f>
        <v>0</v>
      </c>
      <c r="H14" s="9"/>
      <c r="I14" s="9">
        <v>0</v>
      </c>
      <c r="J14" s="9">
        <f>IFERROR(Table24283089101314151617181239424344454647[[#This Row],[Sales Amt]]/Table24283089101314151617181239424344454647[[#This Row],[Sales Qty]],0)</f>
        <v>0</v>
      </c>
      <c r="K14" s="9">
        <v>0</v>
      </c>
      <c r="L14" s="9">
        <f>Table24283089101314151617181239424344454647[[#This Row],[Sales Qty]]*O12</f>
        <v>0</v>
      </c>
      <c r="M14" s="9">
        <f>M13+Table24283089101314151617181239424344454647[[#This Row],[Total Purchase Amount]]-Table24283089101314151617181239424344454647[[#This Row],[Principal Cost As per  NFRS (In case of Sales)]]</f>
        <v>27425</v>
      </c>
      <c r="N14" s="9">
        <f>N13+Table24283089101314151617181239424344454647[[#This Row],[Purchase QTY]]-Table24283089101314151617181239424344454647[[#This Row],[Sales Qty]]</f>
        <v>25</v>
      </c>
      <c r="O14" s="42">
        <f>IFERROR(Table24283089101314151617181239424344454647[[#This Row],[TC AP NFRS]]/Table24283089101314151617181239424344454647[[#This Row],[Unit Sum]],0)</f>
        <v>1097</v>
      </c>
      <c r="P14" s="10">
        <f>Table24283089101314151617181239424344454647[[#This Row],[Sales Amt]]-Table24283089101314151617181239424344454647[[#This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25803.325000000001</v>
      </c>
      <c r="AC14" s="20">
        <f t="shared" si="6"/>
        <v>1032.133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IF(Table24283089101314151617181239424344454647[[#This Row],[SPPU]]&gt;=0,0,Table24283089101314151617181239424344454647[[#This Row],[Total Purchase Amount]]/Table24283089101314151617181239424344454647[[#This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Table24283089101314151617181239424344454647[[#This Row],[Sales Qty]]*O14</f>
        <v>0</v>
      </c>
      <c r="M15" s="9">
        <f>M14+Table24283089101314151617181239424344454647[[#This Row],[Total Purchase Amount]]-Table24283089101314151617181239424344454647[[#This Row],[Principal Cost As per  NFRS (In case of Sales)]]</f>
        <v>27425</v>
      </c>
      <c r="N15" s="9">
        <f>N14+Table24283089101314151617181239424344454647[[#This Row],[Purchase QTY]]-Table24283089101314151617181239424344454647[[#This Row],[Sales Qty]]</f>
        <v>25</v>
      </c>
      <c r="O15" s="42">
        <f>IFERROR(Table24283089101314151617181239424344454647[[#This Row],[TC AP NFRS]]/Table24283089101314151617181239424344454647[[#This Row],[Unit Sum]],0)</f>
        <v>1097</v>
      </c>
      <c r="P15" s="10">
        <f>Table24283089101314151617181239424344454647[[#This Row],[Sales Amt]]-Table24283089101314151617181239424344454647[[#This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25803.325000000001</v>
      </c>
      <c r="AC15" s="20">
        <f t="shared" si="6"/>
        <v>1032.133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IF(Table24283089101314151617181239424344454647[[#This Row],[SPPU]]&gt;=0,0,Table24283089101314151617181239424344454647[[#This Row],[Total Purchase Amount]]/Table24283089101314151617181239424344454647[[#This Row],[Purchase QTY]])</f>
        <v>#DIV/0!</v>
      </c>
      <c r="H16" s="9"/>
      <c r="I16" s="9">
        <v>0</v>
      </c>
      <c r="J16" s="9" t="e">
        <f>Table24283089101314151617181239424344454647[[#This Row],[Sales Amt]]/Table24283089101314151617181239424344454647[[#This Row],[Sales Qty]]</f>
        <v>#DIV/0!</v>
      </c>
      <c r="K16" s="9">
        <v>0</v>
      </c>
      <c r="L16" s="9">
        <f>Table24283089101314151617181239424344454647[[#This Row],[Sales Qty]]*O15</f>
        <v>0</v>
      </c>
      <c r="M16" s="9">
        <f>M15+Table24283089101314151617181239424344454647[[#This Row],[Total Purchase Amount]]-Table24283089101314151617181239424344454647[[#This Row],[Principal Cost As per  NFRS (In case of Sales)]]</f>
        <v>27425</v>
      </c>
      <c r="N16" s="9">
        <f>N15+Table24283089101314151617181239424344454647[[#This Row],[Purchase QTY]]-Table24283089101314151617181239424344454647[[#This Row],[Sales Qty]]</f>
        <v>25</v>
      </c>
      <c r="O16" s="42">
        <f>IFERROR(Table24283089101314151617181239424344454647[[#This Row],[TC AP NFRS]]/Table24283089101314151617181239424344454647[[#This Row],[Unit Sum]],0)</f>
        <v>1097</v>
      </c>
      <c r="P16" s="10">
        <f>Table24283089101314151617181239424344454647[[#This Row],[Sales Amt]]-Table24283089101314151617181239424344454647[[#This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25803.325000000001</v>
      </c>
      <c r="AC16" s="20">
        <f t="shared" si="6"/>
        <v>1032.133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25</v>
      </c>
      <c r="G17" s="15"/>
      <c r="H17" s="15">
        <f ca="1">SUM(INDIRECT("h4:h"&amp;ROW()-1))</f>
        <v>27425</v>
      </c>
      <c r="I17" s="15">
        <f ca="1">SUM(INDIRECT("i4:i"&amp;ROW()-1))</f>
        <v>0</v>
      </c>
      <c r="J17" s="15" t="e">
        <f ca="1">Table24283089101314151617181239424344454647[[#This Row],[Sales Amt]]/Table24283089101314151617181239424344454647[[#This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Table24283089101314151617181239424344454647[[#This Row],[Total Purchase Amount]]-Table24283089101314151617181239424344454647[[#This Row],[Principal Cost As per  NFRS (In case of Sales)]]</f>
        <v>27425</v>
      </c>
      <c r="N17" s="15">
        <f ca="1">Table24283089101314151617181239424344454647[[#This Row],[Purchase QTY]]-Table24283089101314151617181239424344454647[[#This Row],[Sales Qty]]</f>
        <v>25</v>
      </c>
      <c r="O17" s="43">
        <f ca="1">IFERROR(Table24283089101314151617181239424344454647[[#This Row],[TC AP NFRS]]/Table24283089101314151617181239424344454647[[#This Row],[Unit Sum]],0)</f>
        <v>1097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25803.325000000001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25803.325000000001</v>
      </c>
      <c r="AC17" s="24">
        <f t="shared" ca="1" si="6"/>
        <v>1032.133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609</v>
      </c>
      <c r="C21" s="97"/>
      <c r="D21" s="98">
        <v>45886</v>
      </c>
      <c r="E21" s="99" t="s">
        <v>19</v>
      </c>
      <c r="F21" s="59">
        <v>25</v>
      </c>
      <c r="G21" s="59"/>
      <c r="H21" s="59">
        <v>27425</v>
      </c>
      <c r="I21" s="59"/>
      <c r="J21" s="59"/>
      <c r="K21" s="59"/>
      <c r="L21" s="59"/>
      <c r="M21" s="59">
        <v>27425</v>
      </c>
      <c r="N21" s="59">
        <v>25</v>
      </c>
      <c r="O21" s="59">
        <v>1097</v>
      </c>
      <c r="P21" s="59"/>
      <c r="Q21" s="59"/>
      <c r="R21" s="59"/>
      <c r="S21" s="59"/>
      <c r="T21" s="59"/>
      <c r="U21" s="59">
        <v>25803.325000000001</v>
      </c>
      <c r="V21" s="59"/>
      <c r="W21" s="59"/>
      <c r="X21" s="59"/>
      <c r="Y21" s="59"/>
      <c r="Z21" s="59"/>
      <c r="AA21" s="59"/>
      <c r="AB21" s="59">
        <v>25803.325000000001</v>
      </c>
      <c r="AC21" s="59">
        <v>1032.133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2061AFC-737A-4753-9BD1-77FB5C29D47D}">
          <x14:formula1>
            <xm:f>VALIDATION!$A$2:$A$7</xm:f>
          </x14:formula1>
          <xm:sqref>E7:E16 E21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C6C6-6F89-4A0F-A1EE-D1C1CF6C95DE}">
  <dimension ref="A1:AE22"/>
  <sheetViews>
    <sheetView zoomScaleNormal="100" workbookViewId="0">
      <selection activeCell="AD20" sqref="A20:AD21"/>
    </sheetView>
  </sheetViews>
  <sheetFormatPr defaultRowHeight="15" x14ac:dyDescent="0.25"/>
  <cols>
    <col min="1" max="1" width="2.57031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556</v>
      </c>
      <c r="C7" s="6"/>
      <c r="D7" s="7">
        <v>45855</v>
      </c>
      <c r="E7" s="8" t="s">
        <v>19</v>
      </c>
      <c r="F7" s="9">
        <v>96</v>
      </c>
      <c r="G7" s="9">
        <f>Table2428308910131415161718123942434445464748[[#This Row],[Total Purchase Amount]]/Table2428308910131415161718123942434445464748[[#This Row],[Purchase QTY]]</f>
        <v>1102.5</v>
      </c>
      <c r="H7" s="9">
        <v>105840</v>
      </c>
      <c r="I7" s="9"/>
      <c r="J7" s="9"/>
      <c r="K7" s="9"/>
      <c r="L7" s="9"/>
      <c r="M7" s="9">
        <f>Table2428308910131415161718123942434445464748[[#This Row],[Total Purchase Amount]]</f>
        <v>105840</v>
      </c>
      <c r="N7" s="9">
        <f>IF(Table2428308910131415161718123942434445464748[[#This Row],[Txn Type]]="opening",Table2428308910131415161718123942434445464748[[#This Row],[Purchase QTY]],"Error")</f>
        <v>96</v>
      </c>
      <c r="O7" s="42">
        <f>IFERROR(Table2428308910131415161718123942434445464748[[#This Row],[TC AP NFRS]]/Table2428308910131415161718123942434445464748[[#This Row],[Unit Sum]],0)</f>
        <v>1102.5</v>
      </c>
      <c r="P7" s="10">
        <f>Table2428308910131415161718123942434445464748[[#This Row],[Sales Amt]]-Table2428308910131415161718123942434445464748[[#This Row],[Principal Cost As per  NFRS (In case of Sales)]]</f>
        <v>0</v>
      </c>
      <c r="R7" s="17"/>
      <c r="S7" s="17"/>
      <c r="T7" s="20">
        <f>R7+S7</f>
        <v>0</v>
      </c>
      <c r="U7" s="20">
        <f>AB7</f>
        <v>98807.817600000009</v>
      </c>
      <c r="V7" s="20"/>
      <c r="W7" s="20"/>
      <c r="X7" s="20"/>
      <c r="Y7" s="46"/>
      <c r="Z7" s="46"/>
      <c r="AA7" s="46"/>
      <c r="AB7" s="46">
        <f>F7*AC7</f>
        <v>98807.817600000009</v>
      </c>
      <c r="AC7" s="46">
        <v>1029.2481</v>
      </c>
      <c r="AD7" s="58">
        <f>Z7-AA7+Y7</f>
        <v>0</v>
      </c>
    </row>
    <row r="8" spans="1:31" x14ac:dyDescent="0.25">
      <c r="A8" s="5">
        <f>A7+1</f>
        <v>2</v>
      </c>
      <c r="B8" s="6" t="str">
        <f>B7</f>
        <v>SBLD84</v>
      </c>
      <c r="C8" s="6"/>
      <c r="D8" s="7"/>
      <c r="E8" s="8"/>
      <c r="F8" s="9">
        <v>0</v>
      </c>
      <c r="G8" s="9">
        <f>IFERROR(Table2428308910131415161718123942434445464748[[#This Row],[Total Purchase Amount]]/Table2428308910131415161718123942434445464748[[#This Row],[Purchase QTY]],0)</f>
        <v>0</v>
      </c>
      <c r="H8" s="9">
        <v>0</v>
      </c>
      <c r="I8" s="9">
        <v>0</v>
      </c>
      <c r="J8" s="9" t="e">
        <f>Table2428308910131415161718123942434445464748[[#This Row],[Sales Amt]]/Table2428308910131415161718123942434445464748[[#This Row],[Sales Qty]]</f>
        <v>#DIV/0!</v>
      </c>
      <c r="K8" s="9">
        <v>0</v>
      </c>
      <c r="L8" s="9">
        <f>Table2428308910131415161718123942434445464748[[#This Row],[Sales Qty]]*O7</f>
        <v>0</v>
      </c>
      <c r="M8" s="9">
        <f>M7+Table2428308910131415161718123942434445464748[[#This Row],[Total Purchase Amount]]-Table2428308910131415161718123942434445464748[[#This Row],[Principal Cost As per  NFRS (In case of Sales)]]</f>
        <v>105840</v>
      </c>
      <c r="N8" s="9">
        <f>N7+Table2428308910131415161718123942434445464748[[#This Row],[Purchase QTY]]-Table2428308910131415161718123942434445464748[[#This Row],[Sales Qty]]</f>
        <v>96</v>
      </c>
      <c r="O8" s="42">
        <f>IFERROR(Table2428308910131415161718123942434445464748[[#This Row],[TC AP NFRS]]/Table2428308910131415161718123942434445464748[[#This Row],[Unit Sum]],0)</f>
        <v>1102.5</v>
      </c>
      <c r="P8" s="10">
        <f>Table2428308910131415161718123942434445464748[[#This Row],[Sales Amt]]-Table2428308910131415161718123942434445464748[[#This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98807.817600000009</v>
      </c>
      <c r="AC8" s="20">
        <f>IFERROR(AB8/N8,0)</f>
        <v>1029.2481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IF(Table2428308910131415161718123942434445464748[[#This Row],[SPPU]]&gt;=0,0,Table2428308910131415161718123942434445464748[[#This Row],[Total Purchase Amount]]/Table2428308910131415161718123942434445464748[[#This Row],[Purchase QTY]])</f>
        <v>0</v>
      </c>
      <c r="H9" s="9">
        <v>0</v>
      </c>
      <c r="I9" s="9">
        <v>0</v>
      </c>
      <c r="J9" s="9">
        <f>IFERROR(Table2428308910131415161718123942434445464748[[#This Row],[Sales Amt]]/Table2428308910131415161718123942434445464748[[#This Row],[Sales Qty]],0)</f>
        <v>0</v>
      </c>
      <c r="K9" s="9">
        <v>0</v>
      </c>
      <c r="L9" s="9">
        <f>Table2428308910131415161718123942434445464748[[#This Row],[Sales Qty]]*O8</f>
        <v>0</v>
      </c>
      <c r="M9" s="9">
        <f>M8+Table2428308910131415161718123942434445464748[[#This Row],[Total Purchase Amount]]-Table2428308910131415161718123942434445464748[[#This Row],[Principal Cost As per  NFRS (In case of Sales)]]</f>
        <v>105840</v>
      </c>
      <c r="N9" s="9">
        <f>N8+Table2428308910131415161718123942434445464748[[#This Row],[Purchase QTY]]-Table2428308910131415161718123942434445464748[[#This Row],[Sales Qty]]</f>
        <v>96</v>
      </c>
      <c r="O9" s="42">
        <f>IFERROR(Table2428308910131415161718123942434445464748[[#This Row],[TC AP NFRS]]/Table2428308910131415161718123942434445464748[[#This Row],[Unit Sum]],0)</f>
        <v>1102.5</v>
      </c>
      <c r="P9" s="10">
        <f>Table2428308910131415161718123942434445464748[[#This Row],[Sales Amt]]-Table2428308910131415161718123942434445464748[[#This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98807.817600000009</v>
      </c>
      <c r="AC9" s="20">
        <f t="shared" ref="AC9:AC17" si="6">IFERROR(AB9/N9,0)</f>
        <v>1029.2481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IF(Table2428308910131415161718123942434445464748[[#This Row],[SPPU]]&gt;=0,0,Table2428308910131415161718123942434445464748[[#This Row],[Total Purchase Amount]]/Table2428308910131415161718123942434445464748[[#This Row],[Purchase QTY]])</f>
        <v>0</v>
      </c>
      <c r="H10" s="9"/>
      <c r="I10" s="9">
        <v>0</v>
      </c>
      <c r="J10" s="9">
        <f>IFERROR(Table2428308910131415161718123942434445464748[[#This Row],[Sales Amt]]/Table2428308910131415161718123942434445464748[[#This Row],[Sales Qty]],0)</f>
        <v>0</v>
      </c>
      <c r="K10" s="9">
        <v>0</v>
      </c>
      <c r="L10" s="9">
        <f>Table2428308910131415161718123942434445464748[[#This Row],[Sales Qty]]*O9</f>
        <v>0</v>
      </c>
      <c r="M10" s="9">
        <f>M9+Table2428308910131415161718123942434445464748[[#This Row],[Total Purchase Amount]]-Table2428308910131415161718123942434445464748[[#This Row],[Principal Cost As per  NFRS (In case of Sales)]]</f>
        <v>105840</v>
      </c>
      <c r="N10" s="9">
        <f>N9+Table2428308910131415161718123942434445464748[[#This Row],[Purchase QTY]]-Table2428308910131415161718123942434445464748[[#This Row],[Sales Qty]]</f>
        <v>96</v>
      </c>
      <c r="O10" s="42">
        <f>IFERROR(Table2428308910131415161718123942434445464748[[#This Row],[TC AP NFRS]]/Table2428308910131415161718123942434445464748[[#This Row],[Unit Sum]],0)</f>
        <v>1102.5</v>
      </c>
      <c r="P10" s="10">
        <f>Table2428308910131415161718123942434445464748[[#This Row],[Sales Amt]]-Table2428308910131415161718123942434445464748[[#This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98807.817600000009</v>
      </c>
      <c r="AC10" s="20">
        <f t="shared" si="6"/>
        <v>1029.2481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IF(Table2428308910131415161718123942434445464748[[#This Row],[SPPU]]&gt;=0,0,Table2428308910131415161718123942434445464748[[#This Row],[Total Purchase Amount]]/Table2428308910131415161718123942434445464748[[#This Row],[Purchase QTY]])</f>
        <v>#DIV/0!</v>
      </c>
      <c r="H11" s="9"/>
      <c r="I11" s="9">
        <v>0</v>
      </c>
      <c r="J11" s="9" t="e">
        <f>Table2428308910131415161718123942434445464748[[#This Row],[Sales Amt]]/Table2428308910131415161718123942434445464748[[#This Row],[Sales Qty]]</f>
        <v>#DIV/0!</v>
      </c>
      <c r="K11" s="9">
        <v>0</v>
      </c>
      <c r="L11" s="9">
        <f>Table2428308910131415161718123942434445464748[[#This Row],[Sales Qty]]*O10</f>
        <v>0</v>
      </c>
      <c r="M11" s="9">
        <f>M10+Table2428308910131415161718123942434445464748[[#This Row],[Total Purchase Amount]]-Table2428308910131415161718123942434445464748[[#This Row],[Principal Cost As per  NFRS (In case of Sales)]]</f>
        <v>105840</v>
      </c>
      <c r="N11" s="9">
        <f>N10+Table2428308910131415161718123942434445464748[[#This Row],[Purchase QTY]]-Table2428308910131415161718123942434445464748[[#This Row],[Sales Qty]]</f>
        <v>96</v>
      </c>
      <c r="O11" s="42">
        <f>IFERROR(Table2428308910131415161718123942434445464748[[#This Row],[TC AP NFRS]]/Table2428308910131415161718123942434445464748[[#This Row],[Unit Sum]],0)</f>
        <v>1102.5</v>
      </c>
      <c r="P11" s="10">
        <f>Table2428308910131415161718123942434445464748[[#This Row],[Sales Amt]]-Table2428308910131415161718123942434445464748[[#This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98807.817600000009</v>
      </c>
      <c r="AC11" s="20">
        <f t="shared" si="6"/>
        <v>1029.2481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Table2428308910131415161718123942434445464748[[#This Row],[Total Purchase Amount]]/Table2428308910131415161718123942434445464748[[#This Row],[Purchase QTY]]</f>
        <v>#DIV/0!</v>
      </c>
      <c r="H12" s="9">
        <v>0</v>
      </c>
      <c r="I12" s="9">
        <v>0</v>
      </c>
      <c r="J12" s="9">
        <f ca="1">IFERROR(Table2428308910131415161718123942434445464748[[#This Row],[Sales Amt]]/Table2428308910131415161718123942434445464748[[#This Row],[Sales Qty]],0)</f>
        <v>0</v>
      </c>
      <c r="K12" s="9">
        <f ca="1">Table2428308910131415161718123942434445464748[[#This Row],[Sales Qty]]*Table2428308910131415161718123942434445464748[[#This Row],[SPPU]]</f>
        <v>0</v>
      </c>
      <c r="L12" s="9">
        <f>Table2428308910131415161718123942434445464748[[#This Row],[Sales Qty]]*O11</f>
        <v>0</v>
      </c>
      <c r="M12" s="9">
        <f>M11+Table2428308910131415161718123942434445464748[[#This Row],[Total Purchase Amount]]-Table2428308910131415161718123942434445464748[[#This Row],[Principal Cost As per  NFRS (In case of Sales)]]</f>
        <v>105840</v>
      </c>
      <c r="N12" s="9">
        <f>N11+Table2428308910131415161718123942434445464748[[#This Row],[Purchase QTY]]-Table2428308910131415161718123942434445464748[[#This Row],[Sales Qty]]</f>
        <v>96</v>
      </c>
      <c r="O12" s="42">
        <f>IFERROR(Table2428308910131415161718123942434445464748[[#This Row],[TC AP NFRS]]/Table2428308910131415161718123942434445464748[[#This Row],[Unit Sum]],0)</f>
        <v>1102.5</v>
      </c>
      <c r="P12" s="10">
        <f ca="1">Table2428308910131415161718123942434445464748[[#This Row],[Sales Amt]]-Table2428308910131415161718123942434445464748[[#This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98807.817600000009</v>
      </c>
      <c r="AC12" s="20">
        <f t="shared" si="6"/>
        <v>1029.2481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Table2428308910131415161718123942434445464748[[#This Row],[Total Purchase Amount]]/Table2428308910131415161718123942434445464748[[#This Row],[Purchase QTY]]</f>
        <v>#DIV/0!</v>
      </c>
      <c r="H13" s="9">
        <v>0</v>
      </c>
      <c r="I13" s="9">
        <v>0</v>
      </c>
      <c r="J13" s="9">
        <f ca="1">IFERROR(Table2428308910131415161718123942434445464748[[#This Row],[Sales Amt]]/Table2428308910131415161718123942434445464748[[#This Row],[Sales Qty]],0)</f>
        <v>0</v>
      </c>
      <c r="K13" s="9">
        <f ca="1">Table2428308910131415161718123942434445464748[[#This Row],[Sales Qty]]*Table2428308910131415161718123942434445464748[[#This Row],[SPPU]]</f>
        <v>0</v>
      </c>
      <c r="L13" s="9">
        <f>Table2428308910131415161718123942434445464748[[#This Row],[Sales Qty]]*O12</f>
        <v>0</v>
      </c>
      <c r="M13" s="9">
        <f>M12+Table2428308910131415161718123942434445464748[[#This Row],[Total Purchase Amount]]-Table2428308910131415161718123942434445464748[[#This Row],[Principal Cost As per  NFRS (In case of Sales)]]</f>
        <v>105840</v>
      </c>
      <c r="N13" s="9">
        <f>N12+Table2428308910131415161718123942434445464748[[#This Row],[Purchase QTY]]-Table2428308910131415161718123942434445464748[[#This Row],[Sales Qty]]</f>
        <v>96</v>
      </c>
      <c r="O13" s="42">
        <f>IFERROR(Table2428308910131415161718123942434445464748[[#This Row],[TC AP NFRS]]/Table2428308910131415161718123942434445464748[[#This Row],[Unit Sum]],0)</f>
        <v>1102.5</v>
      </c>
      <c r="P13" s="10">
        <f ca="1">Table2428308910131415161718123942434445464748[[#This Row],[Sales Amt]]-Table2428308910131415161718123942434445464748[[#This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98807.817600000009</v>
      </c>
      <c r="AC13" s="20">
        <f t="shared" si="6"/>
        <v>1029.2481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IF(Table2428308910131415161718123942434445464748[[#This Row],[SPPU]]&gt;=0,0,Table2428308910131415161718123942434445464748[[#This Row],[Total Purchase Amount]]/Table2428308910131415161718123942434445464748[[#This Row],[Purchase QTY]])</f>
        <v>0</v>
      </c>
      <c r="H14" s="9"/>
      <c r="I14" s="9">
        <v>0</v>
      </c>
      <c r="J14" s="9">
        <f>IFERROR(Table2428308910131415161718123942434445464748[[#This Row],[Sales Amt]]/Table2428308910131415161718123942434445464748[[#This Row],[Sales Qty]],0)</f>
        <v>0</v>
      </c>
      <c r="K14" s="9">
        <v>0</v>
      </c>
      <c r="L14" s="9">
        <f>Table2428308910131415161718123942434445464748[[#This Row],[Sales Qty]]*O12</f>
        <v>0</v>
      </c>
      <c r="M14" s="9">
        <f>M13+Table2428308910131415161718123942434445464748[[#This Row],[Total Purchase Amount]]-Table2428308910131415161718123942434445464748[[#This Row],[Principal Cost As per  NFRS (In case of Sales)]]</f>
        <v>105840</v>
      </c>
      <c r="N14" s="9">
        <f>N13+Table2428308910131415161718123942434445464748[[#This Row],[Purchase QTY]]-Table2428308910131415161718123942434445464748[[#This Row],[Sales Qty]]</f>
        <v>96</v>
      </c>
      <c r="O14" s="42">
        <f>IFERROR(Table2428308910131415161718123942434445464748[[#This Row],[TC AP NFRS]]/Table2428308910131415161718123942434445464748[[#This Row],[Unit Sum]],0)</f>
        <v>1102.5</v>
      </c>
      <c r="P14" s="10">
        <f>Table2428308910131415161718123942434445464748[[#This Row],[Sales Amt]]-Table2428308910131415161718123942434445464748[[#This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98807.817600000009</v>
      </c>
      <c r="AC14" s="20">
        <f t="shared" si="6"/>
        <v>1029.2481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IF(Table2428308910131415161718123942434445464748[[#This Row],[SPPU]]&gt;=0,0,Table2428308910131415161718123942434445464748[[#This Row],[Total Purchase Amount]]/Table2428308910131415161718123942434445464748[[#This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Table2428308910131415161718123942434445464748[[#This Row],[Sales Qty]]*O14</f>
        <v>0</v>
      </c>
      <c r="M15" s="9">
        <f>M14+Table2428308910131415161718123942434445464748[[#This Row],[Total Purchase Amount]]-Table2428308910131415161718123942434445464748[[#This Row],[Principal Cost As per  NFRS (In case of Sales)]]</f>
        <v>105840</v>
      </c>
      <c r="N15" s="9">
        <f>N14+Table2428308910131415161718123942434445464748[[#This Row],[Purchase QTY]]-Table2428308910131415161718123942434445464748[[#This Row],[Sales Qty]]</f>
        <v>96</v>
      </c>
      <c r="O15" s="42">
        <f>IFERROR(Table2428308910131415161718123942434445464748[[#This Row],[TC AP NFRS]]/Table2428308910131415161718123942434445464748[[#This Row],[Unit Sum]],0)</f>
        <v>1102.5</v>
      </c>
      <c r="P15" s="10">
        <f>Table2428308910131415161718123942434445464748[[#This Row],[Sales Amt]]-Table2428308910131415161718123942434445464748[[#This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98807.817600000009</v>
      </c>
      <c r="AC15" s="20">
        <f t="shared" si="6"/>
        <v>1029.2481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IF(Table2428308910131415161718123942434445464748[[#This Row],[SPPU]]&gt;=0,0,Table2428308910131415161718123942434445464748[[#This Row],[Total Purchase Amount]]/Table2428308910131415161718123942434445464748[[#This Row],[Purchase QTY]])</f>
        <v>#DIV/0!</v>
      </c>
      <c r="H16" s="9"/>
      <c r="I16" s="9">
        <v>0</v>
      </c>
      <c r="J16" s="9" t="e">
        <f>Table2428308910131415161718123942434445464748[[#This Row],[Sales Amt]]/Table2428308910131415161718123942434445464748[[#This Row],[Sales Qty]]</f>
        <v>#DIV/0!</v>
      </c>
      <c r="K16" s="9">
        <v>0</v>
      </c>
      <c r="L16" s="9">
        <f>Table2428308910131415161718123942434445464748[[#This Row],[Sales Qty]]*O15</f>
        <v>0</v>
      </c>
      <c r="M16" s="9">
        <f>M15+Table2428308910131415161718123942434445464748[[#This Row],[Total Purchase Amount]]-Table2428308910131415161718123942434445464748[[#This Row],[Principal Cost As per  NFRS (In case of Sales)]]</f>
        <v>105840</v>
      </c>
      <c r="N16" s="9">
        <f>N15+Table2428308910131415161718123942434445464748[[#This Row],[Purchase QTY]]-Table2428308910131415161718123942434445464748[[#This Row],[Sales Qty]]</f>
        <v>96</v>
      </c>
      <c r="O16" s="42">
        <f>IFERROR(Table2428308910131415161718123942434445464748[[#This Row],[TC AP NFRS]]/Table2428308910131415161718123942434445464748[[#This Row],[Unit Sum]],0)</f>
        <v>1102.5</v>
      </c>
      <c r="P16" s="10">
        <f>Table2428308910131415161718123942434445464748[[#This Row],[Sales Amt]]-Table2428308910131415161718123942434445464748[[#This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98807.817600000009</v>
      </c>
      <c r="AC16" s="20">
        <f t="shared" si="6"/>
        <v>1029.2481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96</v>
      </c>
      <c r="G17" s="15"/>
      <c r="H17" s="15">
        <f ca="1">SUM(INDIRECT("h4:h"&amp;ROW()-1))</f>
        <v>105840</v>
      </c>
      <c r="I17" s="15">
        <f ca="1">SUM(INDIRECT("i4:i"&amp;ROW()-1))</f>
        <v>0</v>
      </c>
      <c r="J17" s="15" t="e">
        <f ca="1">Table2428308910131415161718123942434445464748[[#This Row],[Sales Amt]]/Table2428308910131415161718123942434445464748[[#This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Table2428308910131415161718123942434445464748[[#This Row],[Total Purchase Amount]]-Table2428308910131415161718123942434445464748[[#This Row],[Principal Cost As per  NFRS (In case of Sales)]]</f>
        <v>105840</v>
      </c>
      <c r="N17" s="15">
        <f ca="1">Table2428308910131415161718123942434445464748[[#This Row],[Purchase QTY]]-Table2428308910131415161718123942434445464748[[#This Row],[Sales Qty]]</f>
        <v>96</v>
      </c>
      <c r="O17" s="43">
        <f ca="1">IFERROR(Table2428308910131415161718123942434445464748[[#This Row],[TC AP NFRS]]/Table2428308910131415161718123942434445464748[[#This Row],[Unit Sum]],0)</f>
        <v>1102.5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98807.817600000009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98807.817600000009</v>
      </c>
      <c r="AC17" s="24">
        <f t="shared" ca="1" si="6"/>
        <v>1029.2481</v>
      </c>
      <c r="AD17" s="24">
        <f ca="1">SUM(AD7:AD16)</f>
        <v>0</v>
      </c>
    </row>
    <row r="20" spans="1:30" x14ac:dyDescent="0.25">
      <c r="A20" t="s">
        <v>882</v>
      </c>
      <c r="R20" s="120" t="s">
        <v>20</v>
      </c>
      <c r="S20" s="121"/>
      <c r="T20" s="121"/>
      <c r="U20" s="50"/>
      <c r="V20" s="120" t="s">
        <v>67</v>
      </c>
      <c r="W20" s="121"/>
      <c r="X20" s="121"/>
      <c r="Y20" s="123" t="s">
        <v>13</v>
      </c>
      <c r="Z20" s="124" t="s">
        <v>10</v>
      </c>
      <c r="AA20" s="125" t="s">
        <v>66</v>
      </c>
      <c r="AB20" s="123" t="s">
        <v>15</v>
      </c>
      <c r="AC20" s="123" t="s">
        <v>18</v>
      </c>
      <c r="AD20" s="123" t="s">
        <v>12</v>
      </c>
    </row>
    <row r="21" spans="1:30" ht="75" x14ac:dyDescent="0.25">
      <c r="A21" s="1" t="s">
        <v>57</v>
      </c>
      <c r="B21" s="2" t="s">
        <v>0</v>
      </c>
      <c r="C21" s="2" t="s">
        <v>53</v>
      </c>
      <c r="D21" s="2" t="s">
        <v>1</v>
      </c>
      <c r="E21" s="2" t="s">
        <v>2</v>
      </c>
      <c r="F21" s="2" t="s">
        <v>3</v>
      </c>
      <c r="G21" s="2" t="s">
        <v>4</v>
      </c>
      <c r="H21" s="2" t="s">
        <v>51</v>
      </c>
      <c r="I21" s="2" t="s">
        <v>6</v>
      </c>
      <c r="J21" s="16" t="s">
        <v>7</v>
      </c>
      <c r="K21" s="16" t="s">
        <v>8</v>
      </c>
      <c r="L21" s="2" t="s">
        <v>50</v>
      </c>
      <c r="M21" s="2" t="s">
        <v>14</v>
      </c>
      <c r="N21" s="2" t="s">
        <v>16</v>
      </c>
      <c r="O21" s="4" t="s">
        <v>17</v>
      </c>
      <c r="P21" s="3" t="s">
        <v>11</v>
      </c>
      <c r="R21" s="2" t="s">
        <v>65</v>
      </c>
      <c r="S21" s="2" t="s">
        <v>62</v>
      </c>
      <c r="T21" s="2" t="s">
        <v>5</v>
      </c>
      <c r="U21" s="2" t="s">
        <v>164</v>
      </c>
      <c r="V21" s="16" t="s">
        <v>64</v>
      </c>
      <c r="W21" s="16" t="s">
        <v>62</v>
      </c>
      <c r="X21" s="45" t="s">
        <v>9</v>
      </c>
      <c r="Y21" s="123"/>
      <c r="Z21" s="124"/>
      <c r="AA21" s="125"/>
      <c r="AB21" s="123"/>
      <c r="AC21" s="123"/>
      <c r="AD21" s="123"/>
    </row>
    <row r="22" spans="1:30" x14ac:dyDescent="0.25">
      <c r="A22" s="96">
        <v>1</v>
      </c>
      <c r="B22" s="97" t="s">
        <v>556</v>
      </c>
      <c r="C22" s="97"/>
      <c r="D22" s="98">
        <v>45886</v>
      </c>
      <c r="E22" s="99" t="s">
        <v>19</v>
      </c>
      <c r="F22" s="59">
        <v>96</v>
      </c>
      <c r="G22" s="59"/>
      <c r="H22" s="59">
        <v>105840</v>
      </c>
      <c r="I22" s="59"/>
      <c r="J22" s="59"/>
      <c r="K22" s="59"/>
      <c r="L22" s="59"/>
      <c r="M22" s="59">
        <v>105840</v>
      </c>
      <c r="N22" s="59">
        <v>96</v>
      </c>
      <c r="O22" s="59">
        <v>1102.5</v>
      </c>
      <c r="P22" s="59"/>
      <c r="Q22" s="59"/>
      <c r="R22" s="59"/>
      <c r="S22" s="59"/>
      <c r="T22" s="59"/>
      <c r="U22" s="59">
        <v>98807.817600000009</v>
      </c>
      <c r="V22" s="59"/>
      <c r="W22" s="59"/>
      <c r="X22" s="59"/>
      <c r="Y22" s="59"/>
      <c r="Z22" s="59"/>
      <c r="AA22" s="59"/>
      <c r="AB22" s="59">
        <v>98807.817600000009</v>
      </c>
      <c r="AC22" s="59">
        <v>1029.2481</v>
      </c>
      <c r="AD22" s="59"/>
    </row>
  </sheetData>
  <mergeCells count="16">
    <mergeCell ref="AB20:AB21"/>
    <mergeCell ref="AC20:AC21"/>
    <mergeCell ref="AD20:AD21"/>
    <mergeCell ref="R20:T20"/>
    <mergeCell ref="V20:X20"/>
    <mergeCell ref="Y20:Y21"/>
    <mergeCell ref="Z20:Z21"/>
    <mergeCell ref="AA20:AA21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213F1E-2A09-433C-BE6E-045F1A8E4DE4}">
          <x14:formula1>
            <xm:f>VALIDATION!$A$2:$A$7</xm:f>
          </x14:formula1>
          <xm:sqref>E7:E16 E22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973B9-6F2C-4923-A477-90D0BE3DD0E8}">
  <dimension ref="A1:AE21"/>
  <sheetViews>
    <sheetView topLeftCell="N1" zoomScaleNormal="100" workbookViewId="0">
      <selection activeCell="A19" sqref="A19:AD20"/>
    </sheetView>
  </sheetViews>
  <sheetFormatPr defaultRowHeight="15" x14ac:dyDescent="0.25"/>
  <cols>
    <col min="1" max="1" width="4.57031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576</v>
      </c>
      <c r="C7" s="6"/>
      <c r="D7" s="7">
        <v>45855</v>
      </c>
      <c r="E7" s="8" t="s">
        <v>19</v>
      </c>
      <c r="F7" s="9">
        <v>25</v>
      </c>
      <c r="G7" s="9">
        <f>Table242830891013141516171812394243444546474849[[#This Row],[Total Purchase Amount]]/Table242830891013141516171812394243444546474849[[#This Row],[Purchase QTY]]</f>
        <v>1042</v>
      </c>
      <c r="H7" s="9">
        <v>26050</v>
      </c>
      <c r="I7" s="9"/>
      <c r="J7" s="9"/>
      <c r="K7" s="9"/>
      <c r="L7" s="9"/>
      <c r="M7" s="9">
        <f>Table242830891013141516171812394243444546474849[[#This Row],[Total Purchase Amount]]</f>
        <v>26050</v>
      </c>
      <c r="N7" s="9">
        <f>IF(Table242830891013141516171812394243444546474849[[#This Row],[Txn Type]]="opening",Table242830891013141516171812394243444546474849[[#This Row],[Purchase QTY]],"Error")</f>
        <v>25</v>
      </c>
      <c r="O7" s="42">
        <f>IFERROR(Table242830891013141516171812394243444546474849[[#This Row],[TC AP NFRS]]/Table242830891013141516171812394243444546474849[[#This Row],[Unit Sum]],0)</f>
        <v>1042</v>
      </c>
      <c r="P7" s="10">
        <f>Table242830891013141516171812394243444546474849[[#This Row],[Sales Amt]]-Table242830891013141516171812394243444546474849[[#This Row],[Principal Cost As per  NFRS (In case of Sales)]]</f>
        <v>0</v>
      </c>
      <c r="R7" s="17"/>
      <c r="S7" s="17"/>
      <c r="T7" s="20">
        <f>R7+S7</f>
        <v>0</v>
      </c>
      <c r="U7" s="20">
        <f>AB7</f>
        <v>25840.6875</v>
      </c>
      <c r="V7" s="20"/>
      <c r="W7" s="20"/>
      <c r="X7" s="20"/>
      <c r="Y7" s="46"/>
      <c r="Z7" s="46"/>
      <c r="AA7" s="46"/>
      <c r="AB7" s="46">
        <f>F7*AC7</f>
        <v>25840.6875</v>
      </c>
      <c r="AC7" s="46">
        <v>1033.6275000000001</v>
      </c>
      <c r="AD7" s="58">
        <f>Z7-AA7+Y7</f>
        <v>0</v>
      </c>
    </row>
    <row r="8" spans="1:31" x14ac:dyDescent="0.25">
      <c r="A8" s="5">
        <f>A7+1</f>
        <v>2</v>
      </c>
      <c r="B8" s="6" t="str">
        <f>B7</f>
        <v>NIBD84</v>
      </c>
      <c r="C8" s="6"/>
      <c r="D8" s="7"/>
      <c r="E8" s="8"/>
      <c r="F8" s="9">
        <v>0</v>
      </c>
      <c r="G8" s="9">
        <f>IFERROR(Table242830891013141516171812394243444546474849[[#This Row],[Total Purchase Amount]]/Table242830891013141516171812394243444546474849[[#This Row],[Purchase QTY]],0)</f>
        <v>0</v>
      </c>
      <c r="H8" s="9">
        <v>0</v>
      </c>
      <c r="I8" s="9">
        <v>0</v>
      </c>
      <c r="J8" s="9" t="e">
        <f>Table242830891013141516171812394243444546474849[[#This Row],[Sales Amt]]/Table242830891013141516171812394243444546474849[[#This Row],[Sales Qty]]</f>
        <v>#DIV/0!</v>
      </c>
      <c r="K8" s="9">
        <v>0</v>
      </c>
      <c r="L8" s="9">
        <f>Table242830891013141516171812394243444546474849[[#This Row],[Sales Qty]]*O7</f>
        <v>0</v>
      </c>
      <c r="M8" s="9">
        <f>M7+Table242830891013141516171812394243444546474849[[#This Row],[Total Purchase Amount]]-Table242830891013141516171812394243444546474849[[#This Row],[Principal Cost As per  NFRS (In case of Sales)]]</f>
        <v>26050</v>
      </c>
      <c r="N8" s="9">
        <f>N7+Table242830891013141516171812394243444546474849[[#This Row],[Purchase QTY]]-Table242830891013141516171812394243444546474849[[#This Row],[Sales Qty]]</f>
        <v>25</v>
      </c>
      <c r="O8" s="42">
        <f>IFERROR(Table242830891013141516171812394243444546474849[[#This Row],[TC AP NFRS]]/Table242830891013141516171812394243444546474849[[#This Row],[Unit Sum]],0)</f>
        <v>1042</v>
      </c>
      <c r="P8" s="10">
        <f>Table242830891013141516171812394243444546474849[[#This Row],[Sales Amt]]-Table242830891013141516171812394243444546474849[[#This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25840.6875</v>
      </c>
      <c r="AC8" s="20">
        <f>IFERROR(AB8/N8,0)</f>
        <v>1033.6275000000001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IF(Table242830891013141516171812394243444546474849[[#This Row],[SPPU]]&gt;=0,0,Table242830891013141516171812394243444546474849[[#This Row],[Total Purchase Amount]]/Table242830891013141516171812394243444546474849[[#This Row],[Purchase QTY]])</f>
        <v>0</v>
      </c>
      <c r="H9" s="9">
        <v>0</v>
      </c>
      <c r="I9" s="9">
        <v>0</v>
      </c>
      <c r="J9" s="9">
        <f>IFERROR(Table242830891013141516171812394243444546474849[[#This Row],[Sales Amt]]/Table242830891013141516171812394243444546474849[[#This Row],[Sales Qty]],0)</f>
        <v>0</v>
      </c>
      <c r="K9" s="9">
        <v>0</v>
      </c>
      <c r="L9" s="9">
        <f>Table242830891013141516171812394243444546474849[[#This Row],[Sales Qty]]*O8</f>
        <v>0</v>
      </c>
      <c r="M9" s="9">
        <f>M8+Table242830891013141516171812394243444546474849[[#This Row],[Total Purchase Amount]]-Table242830891013141516171812394243444546474849[[#This Row],[Principal Cost As per  NFRS (In case of Sales)]]</f>
        <v>26050</v>
      </c>
      <c r="N9" s="9">
        <f>N8+Table242830891013141516171812394243444546474849[[#This Row],[Purchase QTY]]-Table242830891013141516171812394243444546474849[[#This Row],[Sales Qty]]</f>
        <v>25</v>
      </c>
      <c r="O9" s="42">
        <f>IFERROR(Table242830891013141516171812394243444546474849[[#This Row],[TC AP NFRS]]/Table242830891013141516171812394243444546474849[[#This Row],[Unit Sum]],0)</f>
        <v>1042</v>
      </c>
      <c r="P9" s="10">
        <f>Table242830891013141516171812394243444546474849[[#This Row],[Sales Amt]]-Table242830891013141516171812394243444546474849[[#This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25840.6875</v>
      </c>
      <c r="AC9" s="20">
        <f t="shared" ref="AC9:AC17" si="6">IFERROR(AB9/N9,0)</f>
        <v>1033.6275000000001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IF(Table242830891013141516171812394243444546474849[[#This Row],[SPPU]]&gt;=0,0,Table242830891013141516171812394243444546474849[[#This Row],[Total Purchase Amount]]/Table242830891013141516171812394243444546474849[[#This Row],[Purchase QTY]])</f>
        <v>0</v>
      </c>
      <c r="H10" s="9"/>
      <c r="I10" s="9">
        <v>0</v>
      </c>
      <c r="J10" s="9">
        <f>IFERROR(Table242830891013141516171812394243444546474849[[#This Row],[Sales Amt]]/Table242830891013141516171812394243444546474849[[#This Row],[Sales Qty]],0)</f>
        <v>0</v>
      </c>
      <c r="K10" s="9">
        <v>0</v>
      </c>
      <c r="L10" s="9">
        <f>Table242830891013141516171812394243444546474849[[#This Row],[Sales Qty]]*O9</f>
        <v>0</v>
      </c>
      <c r="M10" s="9">
        <f>M9+Table242830891013141516171812394243444546474849[[#This Row],[Total Purchase Amount]]-Table242830891013141516171812394243444546474849[[#This Row],[Principal Cost As per  NFRS (In case of Sales)]]</f>
        <v>26050</v>
      </c>
      <c r="N10" s="9">
        <f>N9+Table242830891013141516171812394243444546474849[[#This Row],[Purchase QTY]]-Table242830891013141516171812394243444546474849[[#This Row],[Sales Qty]]</f>
        <v>25</v>
      </c>
      <c r="O10" s="42">
        <f>IFERROR(Table242830891013141516171812394243444546474849[[#This Row],[TC AP NFRS]]/Table242830891013141516171812394243444546474849[[#This Row],[Unit Sum]],0)</f>
        <v>1042</v>
      </c>
      <c r="P10" s="10">
        <f>Table242830891013141516171812394243444546474849[[#This Row],[Sales Amt]]-Table242830891013141516171812394243444546474849[[#This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25840.6875</v>
      </c>
      <c r="AC10" s="20">
        <f t="shared" si="6"/>
        <v>1033.6275000000001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IF(Table242830891013141516171812394243444546474849[[#This Row],[SPPU]]&gt;=0,0,Table242830891013141516171812394243444546474849[[#This Row],[Total Purchase Amount]]/Table242830891013141516171812394243444546474849[[#This Row],[Purchase QTY]])</f>
        <v>#DIV/0!</v>
      </c>
      <c r="H11" s="9"/>
      <c r="I11" s="9">
        <v>0</v>
      </c>
      <c r="J11" s="9" t="e">
        <f>Table242830891013141516171812394243444546474849[[#This Row],[Sales Amt]]/Table242830891013141516171812394243444546474849[[#This Row],[Sales Qty]]</f>
        <v>#DIV/0!</v>
      </c>
      <c r="K11" s="9">
        <v>0</v>
      </c>
      <c r="L11" s="9">
        <f>Table242830891013141516171812394243444546474849[[#This Row],[Sales Qty]]*O10</f>
        <v>0</v>
      </c>
      <c r="M11" s="9">
        <f>M10+Table242830891013141516171812394243444546474849[[#This Row],[Total Purchase Amount]]-Table242830891013141516171812394243444546474849[[#This Row],[Principal Cost As per  NFRS (In case of Sales)]]</f>
        <v>26050</v>
      </c>
      <c r="N11" s="9">
        <f>N10+Table242830891013141516171812394243444546474849[[#This Row],[Purchase QTY]]-Table242830891013141516171812394243444546474849[[#This Row],[Sales Qty]]</f>
        <v>25</v>
      </c>
      <c r="O11" s="42">
        <f>IFERROR(Table242830891013141516171812394243444546474849[[#This Row],[TC AP NFRS]]/Table242830891013141516171812394243444546474849[[#This Row],[Unit Sum]],0)</f>
        <v>1042</v>
      </c>
      <c r="P11" s="10">
        <f>Table242830891013141516171812394243444546474849[[#This Row],[Sales Amt]]-Table242830891013141516171812394243444546474849[[#This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25840.6875</v>
      </c>
      <c r="AC11" s="20">
        <f t="shared" si="6"/>
        <v>1033.6275000000001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Table242830891013141516171812394243444546474849[[#This Row],[Total Purchase Amount]]/Table242830891013141516171812394243444546474849[[#This Row],[Purchase QTY]]</f>
        <v>#DIV/0!</v>
      </c>
      <c r="H12" s="9">
        <v>0</v>
      </c>
      <c r="I12" s="9">
        <v>0</v>
      </c>
      <c r="J12" s="9">
        <f ca="1">IFERROR(Table242830891013141516171812394243444546474849[[#This Row],[Sales Amt]]/Table242830891013141516171812394243444546474849[[#This Row],[Sales Qty]],0)</f>
        <v>0</v>
      </c>
      <c r="K12" s="9">
        <f ca="1">Table242830891013141516171812394243444546474849[[#This Row],[Sales Qty]]*Table242830891013141516171812394243444546474849[[#This Row],[SPPU]]</f>
        <v>0</v>
      </c>
      <c r="L12" s="9">
        <f>Table242830891013141516171812394243444546474849[[#This Row],[Sales Qty]]*O11</f>
        <v>0</v>
      </c>
      <c r="M12" s="9">
        <f>M11+Table242830891013141516171812394243444546474849[[#This Row],[Total Purchase Amount]]-Table242830891013141516171812394243444546474849[[#This Row],[Principal Cost As per  NFRS (In case of Sales)]]</f>
        <v>26050</v>
      </c>
      <c r="N12" s="9">
        <f>N11+Table242830891013141516171812394243444546474849[[#This Row],[Purchase QTY]]-Table242830891013141516171812394243444546474849[[#This Row],[Sales Qty]]</f>
        <v>25</v>
      </c>
      <c r="O12" s="42">
        <f>IFERROR(Table242830891013141516171812394243444546474849[[#This Row],[TC AP NFRS]]/Table242830891013141516171812394243444546474849[[#This Row],[Unit Sum]],0)</f>
        <v>1042</v>
      </c>
      <c r="P12" s="10">
        <f ca="1">Table242830891013141516171812394243444546474849[[#This Row],[Sales Amt]]-Table242830891013141516171812394243444546474849[[#This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25840.6875</v>
      </c>
      <c r="AC12" s="20">
        <f t="shared" si="6"/>
        <v>1033.6275000000001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Table242830891013141516171812394243444546474849[[#This Row],[Total Purchase Amount]]/Table242830891013141516171812394243444546474849[[#This Row],[Purchase QTY]]</f>
        <v>#DIV/0!</v>
      </c>
      <c r="H13" s="9">
        <v>0</v>
      </c>
      <c r="I13" s="9">
        <v>0</v>
      </c>
      <c r="J13" s="9">
        <f ca="1">IFERROR(Table242830891013141516171812394243444546474849[[#This Row],[Sales Amt]]/Table242830891013141516171812394243444546474849[[#This Row],[Sales Qty]],0)</f>
        <v>0</v>
      </c>
      <c r="K13" s="9">
        <f ca="1">Table242830891013141516171812394243444546474849[[#This Row],[Sales Qty]]*Table242830891013141516171812394243444546474849[[#This Row],[SPPU]]</f>
        <v>0</v>
      </c>
      <c r="L13" s="9">
        <f>Table242830891013141516171812394243444546474849[[#This Row],[Sales Qty]]*O12</f>
        <v>0</v>
      </c>
      <c r="M13" s="9">
        <f>M12+Table242830891013141516171812394243444546474849[[#This Row],[Total Purchase Amount]]-Table242830891013141516171812394243444546474849[[#This Row],[Principal Cost As per  NFRS (In case of Sales)]]</f>
        <v>26050</v>
      </c>
      <c r="N13" s="9">
        <f>N12+Table242830891013141516171812394243444546474849[[#This Row],[Purchase QTY]]-Table242830891013141516171812394243444546474849[[#This Row],[Sales Qty]]</f>
        <v>25</v>
      </c>
      <c r="O13" s="42">
        <f>IFERROR(Table242830891013141516171812394243444546474849[[#This Row],[TC AP NFRS]]/Table242830891013141516171812394243444546474849[[#This Row],[Unit Sum]],0)</f>
        <v>1042</v>
      </c>
      <c r="P13" s="10">
        <f ca="1">Table242830891013141516171812394243444546474849[[#This Row],[Sales Amt]]-Table242830891013141516171812394243444546474849[[#This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25840.6875</v>
      </c>
      <c r="AC13" s="20">
        <f t="shared" si="6"/>
        <v>1033.6275000000001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IF(Table242830891013141516171812394243444546474849[[#This Row],[SPPU]]&gt;=0,0,Table242830891013141516171812394243444546474849[[#This Row],[Total Purchase Amount]]/Table242830891013141516171812394243444546474849[[#This Row],[Purchase QTY]])</f>
        <v>0</v>
      </c>
      <c r="H14" s="9"/>
      <c r="I14" s="9">
        <v>0</v>
      </c>
      <c r="J14" s="9">
        <f>IFERROR(Table242830891013141516171812394243444546474849[[#This Row],[Sales Amt]]/Table242830891013141516171812394243444546474849[[#This Row],[Sales Qty]],0)</f>
        <v>0</v>
      </c>
      <c r="K14" s="9">
        <v>0</v>
      </c>
      <c r="L14" s="9">
        <f>Table242830891013141516171812394243444546474849[[#This Row],[Sales Qty]]*O12</f>
        <v>0</v>
      </c>
      <c r="M14" s="9">
        <f>M13+Table242830891013141516171812394243444546474849[[#This Row],[Total Purchase Amount]]-Table242830891013141516171812394243444546474849[[#This Row],[Principal Cost As per  NFRS (In case of Sales)]]</f>
        <v>26050</v>
      </c>
      <c r="N14" s="9">
        <f>N13+Table242830891013141516171812394243444546474849[[#This Row],[Purchase QTY]]-Table242830891013141516171812394243444546474849[[#This Row],[Sales Qty]]</f>
        <v>25</v>
      </c>
      <c r="O14" s="42">
        <f>IFERROR(Table242830891013141516171812394243444546474849[[#This Row],[TC AP NFRS]]/Table242830891013141516171812394243444546474849[[#This Row],[Unit Sum]],0)</f>
        <v>1042</v>
      </c>
      <c r="P14" s="10">
        <f>Table242830891013141516171812394243444546474849[[#This Row],[Sales Amt]]-Table242830891013141516171812394243444546474849[[#This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25840.6875</v>
      </c>
      <c r="AC14" s="20">
        <f t="shared" si="6"/>
        <v>1033.6275000000001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IF(Table242830891013141516171812394243444546474849[[#This Row],[SPPU]]&gt;=0,0,Table242830891013141516171812394243444546474849[[#This Row],[Total Purchase Amount]]/Table242830891013141516171812394243444546474849[[#This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Table242830891013141516171812394243444546474849[[#This Row],[Sales Qty]]*O14</f>
        <v>0</v>
      </c>
      <c r="M15" s="9">
        <f>M14+Table242830891013141516171812394243444546474849[[#This Row],[Total Purchase Amount]]-Table242830891013141516171812394243444546474849[[#This Row],[Principal Cost As per  NFRS (In case of Sales)]]</f>
        <v>26050</v>
      </c>
      <c r="N15" s="9">
        <f>N14+Table242830891013141516171812394243444546474849[[#This Row],[Purchase QTY]]-Table242830891013141516171812394243444546474849[[#This Row],[Sales Qty]]</f>
        <v>25</v>
      </c>
      <c r="O15" s="42">
        <f>IFERROR(Table242830891013141516171812394243444546474849[[#This Row],[TC AP NFRS]]/Table242830891013141516171812394243444546474849[[#This Row],[Unit Sum]],0)</f>
        <v>1042</v>
      </c>
      <c r="P15" s="10">
        <f>Table242830891013141516171812394243444546474849[[#This Row],[Sales Amt]]-Table242830891013141516171812394243444546474849[[#This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25840.6875</v>
      </c>
      <c r="AC15" s="20">
        <f t="shared" si="6"/>
        <v>1033.6275000000001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IF(Table242830891013141516171812394243444546474849[[#This Row],[SPPU]]&gt;=0,0,Table242830891013141516171812394243444546474849[[#This Row],[Total Purchase Amount]]/Table242830891013141516171812394243444546474849[[#This Row],[Purchase QTY]])</f>
        <v>#DIV/0!</v>
      </c>
      <c r="H16" s="9"/>
      <c r="I16" s="9">
        <v>0</v>
      </c>
      <c r="J16" s="9" t="e">
        <f>Table242830891013141516171812394243444546474849[[#This Row],[Sales Amt]]/Table242830891013141516171812394243444546474849[[#This Row],[Sales Qty]]</f>
        <v>#DIV/0!</v>
      </c>
      <c r="K16" s="9">
        <v>0</v>
      </c>
      <c r="L16" s="9">
        <f>Table242830891013141516171812394243444546474849[[#This Row],[Sales Qty]]*O15</f>
        <v>0</v>
      </c>
      <c r="M16" s="9">
        <f>M15+Table242830891013141516171812394243444546474849[[#This Row],[Total Purchase Amount]]-Table242830891013141516171812394243444546474849[[#This Row],[Principal Cost As per  NFRS (In case of Sales)]]</f>
        <v>26050</v>
      </c>
      <c r="N16" s="9">
        <f>N15+Table242830891013141516171812394243444546474849[[#This Row],[Purchase QTY]]-Table242830891013141516171812394243444546474849[[#This Row],[Sales Qty]]</f>
        <v>25</v>
      </c>
      <c r="O16" s="42">
        <f>IFERROR(Table242830891013141516171812394243444546474849[[#This Row],[TC AP NFRS]]/Table242830891013141516171812394243444546474849[[#This Row],[Unit Sum]],0)</f>
        <v>1042</v>
      </c>
      <c r="P16" s="10">
        <f>Table242830891013141516171812394243444546474849[[#This Row],[Sales Amt]]-Table242830891013141516171812394243444546474849[[#This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25840.6875</v>
      </c>
      <c r="AC16" s="20">
        <f t="shared" si="6"/>
        <v>1033.6275000000001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25</v>
      </c>
      <c r="G17" s="15"/>
      <c r="H17" s="15">
        <f ca="1">SUM(INDIRECT("h4:h"&amp;ROW()-1))</f>
        <v>26050</v>
      </c>
      <c r="I17" s="15">
        <f ca="1">SUM(INDIRECT("i4:i"&amp;ROW()-1))</f>
        <v>0</v>
      </c>
      <c r="J17" s="15" t="e">
        <f ca="1">Table242830891013141516171812394243444546474849[[#This Row],[Sales Amt]]/Table242830891013141516171812394243444546474849[[#This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Table242830891013141516171812394243444546474849[[#This Row],[Total Purchase Amount]]-Table242830891013141516171812394243444546474849[[#This Row],[Principal Cost As per  NFRS (In case of Sales)]]</f>
        <v>26050</v>
      </c>
      <c r="N17" s="15">
        <f ca="1">Table242830891013141516171812394243444546474849[[#This Row],[Purchase QTY]]-Table242830891013141516171812394243444546474849[[#This Row],[Sales Qty]]</f>
        <v>25</v>
      </c>
      <c r="O17" s="43">
        <f ca="1">IFERROR(Table242830891013141516171812394243444546474849[[#This Row],[TC AP NFRS]]/Table242830891013141516171812394243444546474849[[#This Row],[Unit Sum]],0)</f>
        <v>1042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25840.6875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25840.6875</v>
      </c>
      <c r="AC17" s="24">
        <f t="shared" ca="1" si="6"/>
        <v>1033.6275000000001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576</v>
      </c>
      <c r="C21" s="97"/>
      <c r="D21" s="98">
        <v>45886</v>
      </c>
      <c r="E21" s="99" t="s">
        <v>19</v>
      </c>
      <c r="F21" s="59">
        <v>25</v>
      </c>
      <c r="G21" s="59"/>
      <c r="H21" s="59">
        <v>26050</v>
      </c>
      <c r="I21" s="59"/>
      <c r="J21" s="59"/>
      <c r="K21" s="59"/>
      <c r="L21" s="59"/>
      <c r="M21" s="59">
        <v>26050</v>
      </c>
      <c r="N21" s="59">
        <v>25</v>
      </c>
      <c r="O21" s="59">
        <v>1042</v>
      </c>
      <c r="P21" s="59"/>
      <c r="Q21" s="59"/>
      <c r="R21" s="59"/>
      <c r="S21" s="59"/>
      <c r="T21" s="59"/>
      <c r="U21" s="59">
        <v>25840.6875</v>
      </c>
      <c r="V21" s="59"/>
      <c r="W21" s="59"/>
      <c r="X21" s="59"/>
      <c r="Y21" s="59"/>
      <c r="Z21" s="59"/>
      <c r="AA21" s="59"/>
      <c r="AB21" s="59">
        <v>25840.6875</v>
      </c>
      <c r="AC21" s="59">
        <v>1033.6275000000001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43FD5B-D4AA-470A-8877-56510964017B}">
          <x14:formula1>
            <xm:f>VALIDATION!$A$2:$A$7</xm:f>
          </x14:formula1>
          <xm:sqref>E7:E16 E21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4540-C8FD-4F08-BEE8-985A59386321}">
  <dimension ref="A1:AE21"/>
  <sheetViews>
    <sheetView zoomScaleNormal="100" workbookViewId="0">
      <selection activeCell="AD19" sqref="A19:AD20"/>
    </sheetView>
  </sheetViews>
  <sheetFormatPr defaultRowHeight="15" x14ac:dyDescent="0.25"/>
  <cols>
    <col min="1" max="1" width="2.57031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580</v>
      </c>
      <c r="C7" s="6"/>
      <c r="D7" s="7">
        <v>45855</v>
      </c>
      <c r="E7" s="8" t="s">
        <v>19</v>
      </c>
      <c r="F7" s="9">
        <v>2000</v>
      </c>
      <c r="G7" s="9">
        <f>Table24283089101314151617181239424344454647484950[[#This Row],[Total Purchase Amount]]/Table24283089101314151617181239424344454647484950[[#This Row],[Purchase QTY]]</f>
        <v>9.9499999999999993</v>
      </c>
      <c r="H7" s="9">
        <v>19900</v>
      </c>
      <c r="I7" s="9"/>
      <c r="J7" s="9"/>
      <c r="K7" s="9"/>
      <c r="L7" s="9"/>
      <c r="M7" s="9">
        <f>Table24283089101314151617181239424344454647484950[[#This Row],[Total Purchase Amount]]</f>
        <v>19900</v>
      </c>
      <c r="N7" s="9">
        <f>IF(Table24283089101314151617181239424344454647484950[[#This Row],[Txn Type]]="opening",Table24283089101314151617181239424344454647484950[[#This Row],[Purchase QTY]],"Error")</f>
        <v>2000</v>
      </c>
      <c r="O7" s="42">
        <f>IFERROR(Table24283089101314151617181239424344454647484950[[#This Row],[TC AP NFRS]]/Table24283089101314151617181239424344454647484950[[#This Row],[Unit Sum]],0)</f>
        <v>9.9499999999999993</v>
      </c>
      <c r="P7" s="10">
        <f>Table24283089101314151617181239424344454647484950[[#This Row],[Sales Amt]]-Table24283089101314151617181239424344454647484950[[#This Row],[Principal Cost As per  NFRS (In case of Sales)]]</f>
        <v>0</v>
      </c>
      <c r="R7" s="17"/>
      <c r="S7" s="17"/>
      <c r="T7" s="20">
        <f>R7+S7</f>
        <v>0</v>
      </c>
      <c r="U7" s="20">
        <f>AB7</f>
        <v>17908.8</v>
      </c>
      <c r="V7" s="20"/>
      <c r="W7" s="20"/>
      <c r="X7" s="20"/>
      <c r="Y7" s="46"/>
      <c r="Z7" s="46"/>
      <c r="AA7" s="46"/>
      <c r="AB7" s="46">
        <f>F7*AC7</f>
        <v>17908.8</v>
      </c>
      <c r="AC7" s="46">
        <v>8.9543999999999997</v>
      </c>
      <c r="AD7" s="58"/>
    </row>
    <row r="8" spans="1:31" x14ac:dyDescent="0.25">
      <c r="A8" s="5">
        <f>A7+1</f>
        <v>2</v>
      </c>
      <c r="B8" s="6" t="str">
        <f>B7</f>
        <v>KEF</v>
      </c>
      <c r="C8" s="6"/>
      <c r="D8" s="7"/>
      <c r="E8" s="8"/>
      <c r="F8" s="9">
        <v>0</v>
      </c>
      <c r="G8" s="9">
        <f>IFERROR(Table24283089101314151617181239424344454647484950[[#This Row],[Total Purchase Amount]]/Table24283089101314151617181239424344454647484950[[#This Row],[Purchase QTY]],0)</f>
        <v>0</v>
      </c>
      <c r="H8" s="9">
        <v>0</v>
      </c>
      <c r="I8" s="9">
        <v>0</v>
      </c>
      <c r="J8" s="9" t="e">
        <f>Table24283089101314151617181239424344454647484950[[#This Row],[Sales Amt]]/Table24283089101314151617181239424344454647484950[[#This Row],[Sales Qty]]</f>
        <v>#DIV/0!</v>
      </c>
      <c r="K8" s="9">
        <v>0</v>
      </c>
      <c r="L8" s="9">
        <f>Table24283089101314151617181239424344454647484950[[#This Row],[Sales Qty]]*O7</f>
        <v>0</v>
      </c>
      <c r="M8" s="9">
        <f>M7+Table24283089101314151617181239424344454647484950[[#This Row],[Total Purchase Amount]]-Table24283089101314151617181239424344454647484950[[#This Row],[Principal Cost As per  NFRS (In case of Sales)]]</f>
        <v>19900</v>
      </c>
      <c r="N8" s="9">
        <f>N7+Table24283089101314151617181239424344454647484950[[#This Row],[Purchase QTY]]-Table24283089101314151617181239424344454647484950[[#This Row],[Sales Qty]]</f>
        <v>2000</v>
      </c>
      <c r="O8" s="42">
        <f>IFERROR(Table24283089101314151617181239424344454647484950[[#This Row],[TC AP NFRS]]/Table24283089101314151617181239424344454647484950[[#This Row],[Unit Sum]],0)</f>
        <v>9.9499999999999993</v>
      </c>
      <c r="P8" s="10">
        <f>Table24283089101314151617181239424344454647484950[[#This Row],[Sales Amt]]-Table24283089101314151617181239424344454647484950[[#This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17908.8</v>
      </c>
      <c r="AC8" s="20">
        <f>IFERROR(AB8/N8,0)</f>
        <v>8.9543999999999997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IF(Table24283089101314151617181239424344454647484950[[#This Row],[SPPU]]&gt;=0,0,Table24283089101314151617181239424344454647484950[[#This Row],[Total Purchase Amount]]/Table24283089101314151617181239424344454647484950[[#This Row],[Purchase QTY]])</f>
        <v>0</v>
      </c>
      <c r="H9" s="9">
        <v>0</v>
      </c>
      <c r="I9" s="9">
        <v>0</v>
      </c>
      <c r="J9" s="9">
        <f>IFERROR(Table24283089101314151617181239424344454647484950[[#This Row],[Sales Amt]]/Table24283089101314151617181239424344454647484950[[#This Row],[Sales Qty]],0)</f>
        <v>0</v>
      </c>
      <c r="K9" s="9">
        <v>0</v>
      </c>
      <c r="L9" s="9">
        <f>Table24283089101314151617181239424344454647484950[[#This Row],[Sales Qty]]*O8</f>
        <v>0</v>
      </c>
      <c r="M9" s="9">
        <f>M8+Table24283089101314151617181239424344454647484950[[#This Row],[Total Purchase Amount]]-Table24283089101314151617181239424344454647484950[[#This Row],[Principal Cost As per  NFRS (In case of Sales)]]</f>
        <v>19900</v>
      </c>
      <c r="N9" s="9">
        <f>N8+Table24283089101314151617181239424344454647484950[[#This Row],[Purchase QTY]]-Table24283089101314151617181239424344454647484950[[#This Row],[Sales Qty]]</f>
        <v>2000</v>
      </c>
      <c r="O9" s="42">
        <f>IFERROR(Table24283089101314151617181239424344454647484950[[#This Row],[TC AP NFRS]]/Table24283089101314151617181239424344454647484950[[#This Row],[Unit Sum]],0)</f>
        <v>9.9499999999999993</v>
      </c>
      <c r="P9" s="10">
        <f>Table24283089101314151617181239424344454647484950[[#This Row],[Sales Amt]]-Table24283089101314151617181239424344454647484950[[#This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17908.8</v>
      </c>
      <c r="AC9" s="20">
        <f t="shared" ref="AC9:AC17" si="6">IFERROR(AB9/N9,0)</f>
        <v>8.9543999999999997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IF(Table24283089101314151617181239424344454647484950[[#This Row],[SPPU]]&gt;=0,0,Table24283089101314151617181239424344454647484950[[#This Row],[Total Purchase Amount]]/Table24283089101314151617181239424344454647484950[[#This Row],[Purchase QTY]])</f>
        <v>0</v>
      </c>
      <c r="H10" s="9"/>
      <c r="I10" s="9">
        <v>0</v>
      </c>
      <c r="J10" s="9">
        <f>IFERROR(Table24283089101314151617181239424344454647484950[[#This Row],[Sales Amt]]/Table24283089101314151617181239424344454647484950[[#This Row],[Sales Qty]],0)</f>
        <v>0</v>
      </c>
      <c r="K10" s="9">
        <v>0</v>
      </c>
      <c r="L10" s="9">
        <f>Table24283089101314151617181239424344454647484950[[#This Row],[Sales Qty]]*O9</f>
        <v>0</v>
      </c>
      <c r="M10" s="9">
        <f>M9+Table24283089101314151617181239424344454647484950[[#This Row],[Total Purchase Amount]]-Table24283089101314151617181239424344454647484950[[#This Row],[Principal Cost As per  NFRS (In case of Sales)]]</f>
        <v>19900</v>
      </c>
      <c r="N10" s="9">
        <f>N9+Table24283089101314151617181239424344454647484950[[#This Row],[Purchase QTY]]-Table24283089101314151617181239424344454647484950[[#This Row],[Sales Qty]]</f>
        <v>2000</v>
      </c>
      <c r="O10" s="42">
        <f>IFERROR(Table24283089101314151617181239424344454647484950[[#This Row],[TC AP NFRS]]/Table24283089101314151617181239424344454647484950[[#This Row],[Unit Sum]],0)</f>
        <v>9.9499999999999993</v>
      </c>
      <c r="P10" s="10">
        <f>Table24283089101314151617181239424344454647484950[[#This Row],[Sales Amt]]-Table24283089101314151617181239424344454647484950[[#This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17908.8</v>
      </c>
      <c r="AC10" s="20">
        <f t="shared" si="6"/>
        <v>8.9543999999999997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IF(Table24283089101314151617181239424344454647484950[[#This Row],[SPPU]]&gt;=0,0,Table24283089101314151617181239424344454647484950[[#This Row],[Total Purchase Amount]]/Table24283089101314151617181239424344454647484950[[#This Row],[Purchase QTY]])</f>
        <v>#DIV/0!</v>
      </c>
      <c r="H11" s="9"/>
      <c r="I11" s="9">
        <v>0</v>
      </c>
      <c r="J11" s="9" t="e">
        <f>Table24283089101314151617181239424344454647484950[[#This Row],[Sales Amt]]/Table24283089101314151617181239424344454647484950[[#This Row],[Sales Qty]]</f>
        <v>#DIV/0!</v>
      </c>
      <c r="K11" s="9">
        <v>0</v>
      </c>
      <c r="L11" s="9">
        <f>Table24283089101314151617181239424344454647484950[[#This Row],[Sales Qty]]*O10</f>
        <v>0</v>
      </c>
      <c r="M11" s="9">
        <f>M10+Table24283089101314151617181239424344454647484950[[#This Row],[Total Purchase Amount]]-Table24283089101314151617181239424344454647484950[[#This Row],[Principal Cost As per  NFRS (In case of Sales)]]</f>
        <v>19900</v>
      </c>
      <c r="N11" s="9">
        <f>N10+Table24283089101314151617181239424344454647484950[[#This Row],[Purchase QTY]]-Table24283089101314151617181239424344454647484950[[#This Row],[Sales Qty]]</f>
        <v>2000</v>
      </c>
      <c r="O11" s="42">
        <f>IFERROR(Table24283089101314151617181239424344454647484950[[#This Row],[TC AP NFRS]]/Table24283089101314151617181239424344454647484950[[#This Row],[Unit Sum]],0)</f>
        <v>9.9499999999999993</v>
      </c>
      <c r="P11" s="10">
        <f>Table24283089101314151617181239424344454647484950[[#This Row],[Sales Amt]]-Table24283089101314151617181239424344454647484950[[#This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17908.8</v>
      </c>
      <c r="AC11" s="20">
        <f t="shared" si="6"/>
        <v>8.9543999999999997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Table24283089101314151617181239424344454647484950[[#This Row],[Total Purchase Amount]]/Table24283089101314151617181239424344454647484950[[#This Row],[Purchase QTY]]</f>
        <v>#DIV/0!</v>
      </c>
      <c r="H12" s="9">
        <v>0</v>
      </c>
      <c r="I12" s="9">
        <v>0</v>
      </c>
      <c r="J12" s="9">
        <f ca="1">IFERROR(Table24283089101314151617181239424344454647484950[[#This Row],[Sales Amt]]/Table24283089101314151617181239424344454647484950[[#This Row],[Sales Qty]],0)</f>
        <v>0</v>
      </c>
      <c r="K12" s="9">
        <f ca="1">Table24283089101314151617181239424344454647484950[[#This Row],[Sales Qty]]*Table24283089101314151617181239424344454647484950[[#This Row],[SPPU]]</f>
        <v>0</v>
      </c>
      <c r="L12" s="9">
        <f>Table24283089101314151617181239424344454647484950[[#This Row],[Sales Qty]]*O11</f>
        <v>0</v>
      </c>
      <c r="M12" s="9">
        <f>M11+Table24283089101314151617181239424344454647484950[[#This Row],[Total Purchase Amount]]-Table24283089101314151617181239424344454647484950[[#This Row],[Principal Cost As per  NFRS (In case of Sales)]]</f>
        <v>19900</v>
      </c>
      <c r="N12" s="9">
        <f>N11+Table24283089101314151617181239424344454647484950[[#This Row],[Purchase QTY]]-Table24283089101314151617181239424344454647484950[[#This Row],[Sales Qty]]</f>
        <v>2000</v>
      </c>
      <c r="O12" s="42">
        <f>IFERROR(Table24283089101314151617181239424344454647484950[[#This Row],[TC AP NFRS]]/Table24283089101314151617181239424344454647484950[[#This Row],[Unit Sum]],0)</f>
        <v>9.9499999999999993</v>
      </c>
      <c r="P12" s="10">
        <f ca="1">Table24283089101314151617181239424344454647484950[[#This Row],[Sales Amt]]-Table24283089101314151617181239424344454647484950[[#This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17908.8</v>
      </c>
      <c r="AC12" s="20">
        <f t="shared" si="6"/>
        <v>8.9543999999999997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Table24283089101314151617181239424344454647484950[[#This Row],[Total Purchase Amount]]/Table24283089101314151617181239424344454647484950[[#This Row],[Purchase QTY]]</f>
        <v>#DIV/0!</v>
      </c>
      <c r="H13" s="9">
        <v>0</v>
      </c>
      <c r="I13" s="9">
        <v>0</v>
      </c>
      <c r="J13" s="9">
        <f ca="1">IFERROR(Table24283089101314151617181239424344454647484950[[#This Row],[Sales Amt]]/Table24283089101314151617181239424344454647484950[[#This Row],[Sales Qty]],0)</f>
        <v>0</v>
      </c>
      <c r="K13" s="9">
        <f ca="1">Table24283089101314151617181239424344454647484950[[#This Row],[Sales Qty]]*Table24283089101314151617181239424344454647484950[[#This Row],[SPPU]]</f>
        <v>0</v>
      </c>
      <c r="L13" s="9">
        <f>Table24283089101314151617181239424344454647484950[[#This Row],[Sales Qty]]*O12</f>
        <v>0</v>
      </c>
      <c r="M13" s="9">
        <f>M12+Table24283089101314151617181239424344454647484950[[#This Row],[Total Purchase Amount]]-Table24283089101314151617181239424344454647484950[[#This Row],[Principal Cost As per  NFRS (In case of Sales)]]</f>
        <v>19900</v>
      </c>
      <c r="N13" s="9">
        <f>N12+Table24283089101314151617181239424344454647484950[[#This Row],[Purchase QTY]]-Table24283089101314151617181239424344454647484950[[#This Row],[Sales Qty]]</f>
        <v>2000</v>
      </c>
      <c r="O13" s="42">
        <f>IFERROR(Table24283089101314151617181239424344454647484950[[#This Row],[TC AP NFRS]]/Table24283089101314151617181239424344454647484950[[#This Row],[Unit Sum]],0)</f>
        <v>9.9499999999999993</v>
      </c>
      <c r="P13" s="10">
        <f ca="1">Table24283089101314151617181239424344454647484950[[#This Row],[Sales Amt]]-Table24283089101314151617181239424344454647484950[[#This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17908.8</v>
      </c>
      <c r="AC13" s="20">
        <f t="shared" si="6"/>
        <v>8.9543999999999997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IF(Table24283089101314151617181239424344454647484950[[#This Row],[SPPU]]&gt;=0,0,Table24283089101314151617181239424344454647484950[[#This Row],[Total Purchase Amount]]/Table24283089101314151617181239424344454647484950[[#This Row],[Purchase QTY]])</f>
        <v>0</v>
      </c>
      <c r="H14" s="9"/>
      <c r="I14" s="9">
        <v>0</v>
      </c>
      <c r="J14" s="9">
        <f>IFERROR(Table24283089101314151617181239424344454647484950[[#This Row],[Sales Amt]]/Table24283089101314151617181239424344454647484950[[#This Row],[Sales Qty]],0)</f>
        <v>0</v>
      </c>
      <c r="K14" s="9">
        <v>0</v>
      </c>
      <c r="L14" s="9">
        <f>Table24283089101314151617181239424344454647484950[[#This Row],[Sales Qty]]*O12</f>
        <v>0</v>
      </c>
      <c r="M14" s="9">
        <f>M13+Table24283089101314151617181239424344454647484950[[#This Row],[Total Purchase Amount]]-Table24283089101314151617181239424344454647484950[[#This Row],[Principal Cost As per  NFRS (In case of Sales)]]</f>
        <v>19900</v>
      </c>
      <c r="N14" s="9">
        <f>N13+Table24283089101314151617181239424344454647484950[[#This Row],[Purchase QTY]]-Table24283089101314151617181239424344454647484950[[#This Row],[Sales Qty]]</f>
        <v>2000</v>
      </c>
      <c r="O14" s="42">
        <f>IFERROR(Table24283089101314151617181239424344454647484950[[#This Row],[TC AP NFRS]]/Table24283089101314151617181239424344454647484950[[#This Row],[Unit Sum]],0)</f>
        <v>9.9499999999999993</v>
      </c>
      <c r="P14" s="10">
        <f>Table24283089101314151617181239424344454647484950[[#This Row],[Sales Amt]]-Table24283089101314151617181239424344454647484950[[#This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17908.8</v>
      </c>
      <c r="AC14" s="20">
        <f t="shared" si="6"/>
        <v>8.9543999999999997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IF(Table24283089101314151617181239424344454647484950[[#This Row],[SPPU]]&gt;=0,0,Table24283089101314151617181239424344454647484950[[#This Row],[Total Purchase Amount]]/Table24283089101314151617181239424344454647484950[[#This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Table24283089101314151617181239424344454647484950[[#This Row],[Sales Qty]]*O14</f>
        <v>0</v>
      </c>
      <c r="M15" s="9">
        <f>M14+Table24283089101314151617181239424344454647484950[[#This Row],[Total Purchase Amount]]-Table24283089101314151617181239424344454647484950[[#This Row],[Principal Cost As per  NFRS (In case of Sales)]]</f>
        <v>19900</v>
      </c>
      <c r="N15" s="9">
        <f>N14+Table24283089101314151617181239424344454647484950[[#This Row],[Purchase QTY]]-Table24283089101314151617181239424344454647484950[[#This Row],[Sales Qty]]</f>
        <v>2000</v>
      </c>
      <c r="O15" s="42">
        <f>IFERROR(Table24283089101314151617181239424344454647484950[[#This Row],[TC AP NFRS]]/Table24283089101314151617181239424344454647484950[[#This Row],[Unit Sum]],0)</f>
        <v>9.9499999999999993</v>
      </c>
      <c r="P15" s="10">
        <f>Table24283089101314151617181239424344454647484950[[#This Row],[Sales Amt]]-Table24283089101314151617181239424344454647484950[[#This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17908.8</v>
      </c>
      <c r="AC15" s="20">
        <f t="shared" si="6"/>
        <v>8.9543999999999997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IF(Table24283089101314151617181239424344454647484950[[#This Row],[SPPU]]&gt;=0,0,Table24283089101314151617181239424344454647484950[[#This Row],[Total Purchase Amount]]/Table24283089101314151617181239424344454647484950[[#This Row],[Purchase QTY]])</f>
        <v>#DIV/0!</v>
      </c>
      <c r="H16" s="9"/>
      <c r="I16" s="9">
        <v>0</v>
      </c>
      <c r="J16" s="9" t="e">
        <f>Table24283089101314151617181239424344454647484950[[#This Row],[Sales Amt]]/Table24283089101314151617181239424344454647484950[[#This Row],[Sales Qty]]</f>
        <v>#DIV/0!</v>
      </c>
      <c r="K16" s="9">
        <v>0</v>
      </c>
      <c r="L16" s="9">
        <f>Table24283089101314151617181239424344454647484950[[#This Row],[Sales Qty]]*O15</f>
        <v>0</v>
      </c>
      <c r="M16" s="9">
        <f>M15+Table24283089101314151617181239424344454647484950[[#This Row],[Total Purchase Amount]]-Table24283089101314151617181239424344454647484950[[#This Row],[Principal Cost As per  NFRS (In case of Sales)]]</f>
        <v>19900</v>
      </c>
      <c r="N16" s="9">
        <f>N15+Table24283089101314151617181239424344454647484950[[#This Row],[Purchase QTY]]-Table24283089101314151617181239424344454647484950[[#This Row],[Sales Qty]]</f>
        <v>2000</v>
      </c>
      <c r="O16" s="42">
        <f>IFERROR(Table24283089101314151617181239424344454647484950[[#This Row],[TC AP NFRS]]/Table24283089101314151617181239424344454647484950[[#This Row],[Unit Sum]],0)</f>
        <v>9.9499999999999993</v>
      </c>
      <c r="P16" s="10">
        <f>Table24283089101314151617181239424344454647484950[[#This Row],[Sales Amt]]-Table24283089101314151617181239424344454647484950[[#This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17908.8</v>
      </c>
      <c r="AC16" s="20">
        <f t="shared" si="6"/>
        <v>8.9543999999999997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2000</v>
      </c>
      <c r="G17" s="15"/>
      <c r="H17" s="15">
        <f ca="1">SUM(INDIRECT("h4:h"&amp;ROW()-1))</f>
        <v>19900</v>
      </c>
      <c r="I17" s="15">
        <f ca="1">SUM(INDIRECT("i4:i"&amp;ROW()-1))</f>
        <v>0</v>
      </c>
      <c r="J17" s="15" t="e">
        <f ca="1">Table24283089101314151617181239424344454647484950[[#This Row],[Sales Amt]]/Table24283089101314151617181239424344454647484950[[#This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Table24283089101314151617181239424344454647484950[[#This Row],[Total Purchase Amount]]-Table24283089101314151617181239424344454647484950[[#This Row],[Principal Cost As per  NFRS (In case of Sales)]]</f>
        <v>19900</v>
      </c>
      <c r="N17" s="15">
        <f ca="1">Table24283089101314151617181239424344454647484950[[#This Row],[Purchase QTY]]-Table24283089101314151617181239424344454647484950[[#This Row],[Sales Qty]]</f>
        <v>2000</v>
      </c>
      <c r="O17" s="43">
        <f ca="1">IFERROR(Table24283089101314151617181239424344454647484950[[#This Row],[TC AP NFRS]]/Table24283089101314151617181239424344454647484950[[#This Row],[Unit Sum]],0)</f>
        <v>9.9499999999999993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17908.8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17908.8</v>
      </c>
      <c r="AC17" s="24">
        <f t="shared" ca="1" si="6"/>
        <v>8.9543999999999997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580</v>
      </c>
      <c r="C21" s="97"/>
      <c r="D21" s="98">
        <v>45886</v>
      </c>
      <c r="E21" s="99" t="s">
        <v>19</v>
      </c>
      <c r="F21" s="59">
        <v>2000</v>
      </c>
      <c r="G21" s="59"/>
      <c r="H21" s="59">
        <v>19900</v>
      </c>
      <c r="I21" s="59"/>
      <c r="J21" s="59"/>
      <c r="K21" s="59"/>
      <c r="L21" s="59"/>
      <c r="M21" s="59">
        <v>19900</v>
      </c>
      <c r="N21" s="59">
        <v>2000</v>
      </c>
      <c r="O21" s="59">
        <v>9.9499999999999993</v>
      </c>
      <c r="P21" s="59"/>
      <c r="Q21" s="59"/>
      <c r="R21" s="59"/>
      <c r="S21" s="59"/>
      <c r="T21" s="59"/>
      <c r="U21" s="59">
        <v>17908.8</v>
      </c>
      <c r="V21" s="59"/>
      <c r="W21" s="59"/>
      <c r="X21" s="59"/>
      <c r="Y21" s="59"/>
      <c r="Z21" s="59"/>
      <c r="AA21" s="59"/>
      <c r="AB21" s="59">
        <v>17908.8</v>
      </c>
      <c r="AC21" s="59">
        <v>8.9543999999999997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72D426-BB0A-434A-9872-D44A7EDC1110}">
          <x14:formula1>
            <xm:f>VALIDATION!$A$2:$A$7</xm:f>
          </x14:formula1>
          <xm:sqref>E7:E16 E21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6F20-8A85-41CB-A14E-DC9E33287B6F}">
  <dimension ref="A1:AE21"/>
  <sheetViews>
    <sheetView zoomScaleNormal="100" workbookViewId="0">
      <selection activeCell="AD19" sqref="A19:AD20"/>
    </sheetView>
  </sheetViews>
  <sheetFormatPr defaultRowHeight="15" x14ac:dyDescent="0.25"/>
  <cols>
    <col min="1" max="1" width="2.57031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514</v>
      </c>
      <c r="C7" s="6"/>
      <c r="D7" s="7">
        <v>45855</v>
      </c>
      <c r="E7" s="8" t="s">
        <v>19</v>
      </c>
      <c r="F7" s="9">
        <v>46876</v>
      </c>
      <c r="G7" s="9">
        <f>Table2428308910131415161718123942434445464748495051[[#This Row],[Total Purchase Amount]]/Table2428308910131415161718123942434445464748495051[[#This Row],[Purchase QTY]]</f>
        <v>10.68</v>
      </c>
      <c r="H7" s="9">
        <v>500635.68</v>
      </c>
      <c r="I7" s="9"/>
      <c r="J7" s="9"/>
      <c r="K7" s="9"/>
      <c r="L7" s="9"/>
      <c r="M7" s="9">
        <f>Table2428308910131415161718123942434445464748495051[[#This Row],[Total Purchase Amount]]</f>
        <v>500635.68</v>
      </c>
      <c r="N7" s="9">
        <f>IF(Table2428308910131415161718123942434445464748495051[[#This Row],[Txn Type]]="opening",Table2428308910131415161718123942434445464748495051[[#This Row],[Purchase QTY]],"Error")</f>
        <v>46876</v>
      </c>
      <c r="O7" s="42">
        <f>IFERROR(Table2428308910131415161718123942434445464748495051[[#This Row],[TC AP NFRS]]/Table2428308910131415161718123942434445464748495051[[#This Row],[Unit Sum]],0)</f>
        <v>10.68</v>
      </c>
      <c r="P7" s="10">
        <f>Table2428308910131415161718123942434445464748495051[[#This Row],[Sales Amt]]-Table2428308910131415161718123942434445464748495051[[#This Row],[Principal Cost As per  NFRS (In case of Sales)]]</f>
        <v>0</v>
      </c>
      <c r="R7" s="17"/>
      <c r="S7" s="17"/>
      <c r="T7" s="20">
        <f>R7+S7</f>
        <v>0</v>
      </c>
      <c r="U7" s="20">
        <f>AB7</f>
        <v>515115.67639999994</v>
      </c>
      <c r="V7" s="20"/>
      <c r="W7" s="20"/>
      <c r="X7" s="20"/>
      <c r="Y7" s="46"/>
      <c r="Z7" s="46"/>
      <c r="AA7" s="46"/>
      <c r="AB7" s="46">
        <f>F7*AC7</f>
        <v>515115.67639999994</v>
      </c>
      <c r="AC7" s="46">
        <v>10.988899999999999</v>
      </c>
      <c r="AD7" s="58"/>
    </row>
    <row r="8" spans="1:31" x14ac:dyDescent="0.25">
      <c r="A8" s="5">
        <f>A7+1</f>
        <v>2</v>
      </c>
      <c r="B8" s="6" t="str">
        <f>B7</f>
        <v>SFMF</v>
      </c>
      <c r="C8" s="6"/>
      <c r="D8" s="7"/>
      <c r="E8" s="8"/>
      <c r="F8" s="9">
        <v>0</v>
      </c>
      <c r="G8" s="9">
        <f>IFERROR(Table2428308910131415161718123942434445464748495051[[#This Row],[Total Purchase Amount]]/Table2428308910131415161718123942434445464748495051[[#This Row],[Purchase QTY]],0)</f>
        <v>0</v>
      </c>
      <c r="H8" s="9">
        <v>0</v>
      </c>
      <c r="I8" s="9">
        <v>0</v>
      </c>
      <c r="J8" s="9" t="e">
        <f>Table2428308910131415161718123942434445464748495051[[#This Row],[Sales Amt]]/Table2428308910131415161718123942434445464748495051[[#This Row],[Sales Qty]]</f>
        <v>#DIV/0!</v>
      </c>
      <c r="K8" s="9">
        <v>0</v>
      </c>
      <c r="L8" s="9">
        <f>Table2428308910131415161718123942434445464748495051[[#This Row],[Sales Qty]]*O7</f>
        <v>0</v>
      </c>
      <c r="M8" s="9">
        <f>M7+Table2428308910131415161718123942434445464748495051[[#This Row],[Total Purchase Amount]]-Table2428308910131415161718123942434445464748495051[[#This Row],[Principal Cost As per  NFRS (In case of Sales)]]</f>
        <v>500635.68</v>
      </c>
      <c r="N8" s="9">
        <f>N7+Table2428308910131415161718123942434445464748495051[[#This Row],[Purchase QTY]]-Table2428308910131415161718123942434445464748495051[[#This Row],[Sales Qty]]</f>
        <v>46876</v>
      </c>
      <c r="O8" s="42">
        <f>IFERROR(Table2428308910131415161718123942434445464748495051[[#This Row],[TC AP NFRS]]/Table2428308910131415161718123942434445464748495051[[#This Row],[Unit Sum]],0)</f>
        <v>10.68</v>
      </c>
      <c r="P8" s="10">
        <f>Table2428308910131415161718123942434445464748495051[[#This Row],[Sales Amt]]-Table2428308910131415161718123942434445464748495051[[#This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515115.67639999994</v>
      </c>
      <c r="AC8" s="20">
        <f>IFERROR(AB8/N8,0)</f>
        <v>10.988899999999999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IF(Table2428308910131415161718123942434445464748495051[[#This Row],[SPPU]]&gt;=0,0,Table2428308910131415161718123942434445464748495051[[#This Row],[Total Purchase Amount]]/Table2428308910131415161718123942434445464748495051[[#This Row],[Purchase QTY]])</f>
        <v>0</v>
      </c>
      <c r="H9" s="9">
        <v>0</v>
      </c>
      <c r="I9" s="9">
        <v>0</v>
      </c>
      <c r="J9" s="9">
        <f>IFERROR(Table2428308910131415161718123942434445464748495051[[#This Row],[Sales Amt]]/Table2428308910131415161718123942434445464748495051[[#This Row],[Sales Qty]],0)</f>
        <v>0</v>
      </c>
      <c r="K9" s="9">
        <v>0</v>
      </c>
      <c r="L9" s="9">
        <f>Table2428308910131415161718123942434445464748495051[[#This Row],[Sales Qty]]*O8</f>
        <v>0</v>
      </c>
      <c r="M9" s="9">
        <f>M8+Table2428308910131415161718123942434445464748495051[[#This Row],[Total Purchase Amount]]-Table2428308910131415161718123942434445464748495051[[#This Row],[Principal Cost As per  NFRS (In case of Sales)]]</f>
        <v>500635.68</v>
      </c>
      <c r="N9" s="9">
        <f>N8+Table2428308910131415161718123942434445464748495051[[#This Row],[Purchase QTY]]-Table2428308910131415161718123942434445464748495051[[#This Row],[Sales Qty]]</f>
        <v>46876</v>
      </c>
      <c r="O9" s="42">
        <f>IFERROR(Table2428308910131415161718123942434445464748495051[[#This Row],[TC AP NFRS]]/Table2428308910131415161718123942434445464748495051[[#This Row],[Unit Sum]],0)</f>
        <v>10.68</v>
      </c>
      <c r="P9" s="10">
        <f>Table2428308910131415161718123942434445464748495051[[#This Row],[Sales Amt]]-Table2428308910131415161718123942434445464748495051[[#This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515115.67639999994</v>
      </c>
      <c r="AC9" s="20">
        <f t="shared" ref="AC9:AC17" si="6">IFERROR(AB9/N9,0)</f>
        <v>10.988899999999999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IF(Table2428308910131415161718123942434445464748495051[[#This Row],[SPPU]]&gt;=0,0,Table2428308910131415161718123942434445464748495051[[#This Row],[Total Purchase Amount]]/Table2428308910131415161718123942434445464748495051[[#This Row],[Purchase QTY]])</f>
        <v>0</v>
      </c>
      <c r="H10" s="9"/>
      <c r="I10" s="9">
        <v>0</v>
      </c>
      <c r="J10" s="9">
        <f>IFERROR(Table2428308910131415161718123942434445464748495051[[#This Row],[Sales Amt]]/Table2428308910131415161718123942434445464748495051[[#This Row],[Sales Qty]],0)</f>
        <v>0</v>
      </c>
      <c r="K10" s="9">
        <v>0</v>
      </c>
      <c r="L10" s="9">
        <f>Table2428308910131415161718123942434445464748495051[[#This Row],[Sales Qty]]*O9</f>
        <v>0</v>
      </c>
      <c r="M10" s="9">
        <f>M9+Table2428308910131415161718123942434445464748495051[[#This Row],[Total Purchase Amount]]-Table2428308910131415161718123942434445464748495051[[#This Row],[Principal Cost As per  NFRS (In case of Sales)]]</f>
        <v>500635.68</v>
      </c>
      <c r="N10" s="9">
        <f>N9+Table2428308910131415161718123942434445464748495051[[#This Row],[Purchase QTY]]-Table2428308910131415161718123942434445464748495051[[#This Row],[Sales Qty]]</f>
        <v>46876</v>
      </c>
      <c r="O10" s="42">
        <f>IFERROR(Table2428308910131415161718123942434445464748495051[[#This Row],[TC AP NFRS]]/Table2428308910131415161718123942434445464748495051[[#This Row],[Unit Sum]],0)</f>
        <v>10.68</v>
      </c>
      <c r="P10" s="10">
        <f>Table2428308910131415161718123942434445464748495051[[#This Row],[Sales Amt]]-Table2428308910131415161718123942434445464748495051[[#This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515115.67639999994</v>
      </c>
      <c r="AC10" s="20">
        <f t="shared" si="6"/>
        <v>10.988899999999999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IF(Table2428308910131415161718123942434445464748495051[[#This Row],[SPPU]]&gt;=0,0,Table2428308910131415161718123942434445464748495051[[#This Row],[Total Purchase Amount]]/Table2428308910131415161718123942434445464748495051[[#This Row],[Purchase QTY]])</f>
        <v>#DIV/0!</v>
      </c>
      <c r="H11" s="9"/>
      <c r="I11" s="9">
        <v>0</v>
      </c>
      <c r="J11" s="9" t="e">
        <f>Table2428308910131415161718123942434445464748495051[[#This Row],[Sales Amt]]/Table2428308910131415161718123942434445464748495051[[#This Row],[Sales Qty]]</f>
        <v>#DIV/0!</v>
      </c>
      <c r="K11" s="9">
        <v>0</v>
      </c>
      <c r="L11" s="9">
        <f>Table2428308910131415161718123942434445464748495051[[#This Row],[Sales Qty]]*O10</f>
        <v>0</v>
      </c>
      <c r="M11" s="9">
        <f>M10+Table2428308910131415161718123942434445464748495051[[#This Row],[Total Purchase Amount]]-Table2428308910131415161718123942434445464748495051[[#This Row],[Principal Cost As per  NFRS (In case of Sales)]]</f>
        <v>500635.68</v>
      </c>
      <c r="N11" s="9">
        <f>N10+Table2428308910131415161718123942434445464748495051[[#This Row],[Purchase QTY]]-Table2428308910131415161718123942434445464748495051[[#This Row],[Sales Qty]]</f>
        <v>46876</v>
      </c>
      <c r="O11" s="42">
        <f>IFERROR(Table2428308910131415161718123942434445464748495051[[#This Row],[TC AP NFRS]]/Table2428308910131415161718123942434445464748495051[[#This Row],[Unit Sum]],0)</f>
        <v>10.68</v>
      </c>
      <c r="P11" s="10">
        <f>Table2428308910131415161718123942434445464748495051[[#This Row],[Sales Amt]]-Table2428308910131415161718123942434445464748495051[[#This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515115.67639999994</v>
      </c>
      <c r="AC11" s="20">
        <f t="shared" si="6"/>
        <v>10.988899999999999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Table2428308910131415161718123942434445464748495051[[#This Row],[Total Purchase Amount]]/Table2428308910131415161718123942434445464748495051[[#This Row],[Purchase QTY]]</f>
        <v>#DIV/0!</v>
      </c>
      <c r="H12" s="9">
        <v>0</v>
      </c>
      <c r="I12" s="9">
        <v>0</v>
      </c>
      <c r="J12" s="9">
        <f ca="1">IFERROR(Table2428308910131415161718123942434445464748495051[[#This Row],[Sales Amt]]/Table2428308910131415161718123942434445464748495051[[#This Row],[Sales Qty]],0)</f>
        <v>0</v>
      </c>
      <c r="K12" s="9">
        <f ca="1">Table2428308910131415161718123942434445464748495051[[#This Row],[Sales Qty]]*Table2428308910131415161718123942434445464748495051[[#This Row],[SPPU]]</f>
        <v>0</v>
      </c>
      <c r="L12" s="9">
        <f>Table2428308910131415161718123942434445464748495051[[#This Row],[Sales Qty]]*O11</f>
        <v>0</v>
      </c>
      <c r="M12" s="9">
        <f>M11+Table2428308910131415161718123942434445464748495051[[#This Row],[Total Purchase Amount]]-Table2428308910131415161718123942434445464748495051[[#This Row],[Principal Cost As per  NFRS (In case of Sales)]]</f>
        <v>500635.68</v>
      </c>
      <c r="N12" s="9">
        <f>N11+Table2428308910131415161718123942434445464748495051[[#This Row],[Purchase QTY]]-Table2428308910131415161718123942434445464748495051[[#This Row],[Sales Qty]]</f>
        <v>46876</v>
      </c>
      <c r="O12" s="42">
        <f>IFERROR(Table2428308910131415161718123942434445464748495051[[#This Row],[TC AP NFRS]]/Table2428308910131415161718123942434445464748495051[[#This Row],[Unit Sum]],0)</f>
        <v>10.68</v>
      </c>
      <c r="P12" s="10">
        <f ca="1">Table2428308910131415161718123942434445464748495051[[#This Row],[Sales Amt]]-Table2428308910131415161718123942434445464748495051[[#This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515115.67639999994</v>
      </c>
      <c r="AC12" s="20">
        <f t="shared" si="6"/>
        <v>10.988899999999999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Table2428308910131415161718123942434445464748495051[[#This Row],[Total Purchase Amount]]/Table2428308910131415161718123942434445464748495051[[#This Row],[Purchase QTY]]</f>
        <v>#DIV/0!</v>
      </c>
      <c r="H13" s="9">
        <v>0</v>
      </c>
      <c r="I13" s="9">
        <v>0</v>
      </c>
      <c r="J13" s="9">
        <f ca="1">IFERROR(Table2428308910131415161718123942434445464748495051[[#This Row],[Sales Amt]]/Table2428308910131415161718123942434445464748495051[[#This Row],[Sales Qty]],0)</f>
        <v>0</v>
      </c>
      <c r="K13" s="9">
        <f ca="1">Table2428308910131415161718123942434445464748495051[[#This Row],[Sales Qty]]*Table2428308910131415161718123942434445464748495051[[#This Row],[SPPU]]</f>
        <v>0</v>
      </c>
      <c r="L13" s="9">
        <f>Table2428308910131415161718123942434445464748495051[[#This Row],[Sales Qty]]*O12</f>
        <v>0</v>
      </c>
      <c r="M13" s="9">
        <f>M12+Table2428308910131415161718123942434445464748495051[[#This Row],[Total Purchase Amount]]-Table2428308910131415161718123942434445464748495051[[#This Row],[Principal Cost As per  NFRS (In case of Sales)]]</f>
        <v>500635.68</v>
      </c>
      <c r="N13" s="9">
        <f>N12+Table2428308910131415161718123942434445464748495051[[#This Row],[Purchase QTY]]-Table2428308910131415161718123942434445464748495051[[#This Row],[Sales Qty]]</f>
        <v>46876</v>
      </c>
      <c r="O13" s="42">
        <f>IFERROR(Table2428308910131415161718123942434445464748495051[[#This Row],[TC AP NFRS]]/Table2428308910131415161718123942434445464748495051[[#This Row],[Unit Sum]],0)</f>
        <v>10.68</v>
      </c>
      <c r="P13" s="10">
        <f ca="1">Table2428308910131415161718123942434445464748495051[[#This Row],[Sales Amt]]-Table2428308910131415161718123942434445464748495051[[#This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515115.67639999994</v>
      </c>
      <c r="AC13" s="20">
        <f t="shared" si="6"/>
        <v>10.988899999999999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IF(Table2428308910131415161718123942434445464748495051[[#This Row],[SPPU]]&gt;=0,0,Table2428308910131415161718123942434445464748495051[[#This Row],[Total Purchase Amount]]/Table2428308910131415161718123942434445464748495051[[#This Row],[Purchase QTY]])</f>
        <v>0</v>
      </c>
      <c r="H14" s="9"/>
      <c r="I14" s="9">
        <v>0</v>
      </c>
      <c r="J14" s="9">
        <f>IFERROR(Table2428308910131415161718123942434445464748495051[[#This Row],[Sales Amt]]/Table2428308910131415161718123942434445464748495051[[#This Row],[Sales Qty]],0)</f>
        <v>0</v>
      </c>
      <c r="K14" s="9">
        <v>0</v>
      </c>
      <c r="L14" s="9">
        <f>Table2428308910131415161718123942434445464748495051[[#This Row],[Sales Qty]]*O12</f>
        <v>0</v>
      </c>
      <c r="M14" s="9">
        <f>M13+Table2428308910131415161718123942434445464748495051[[#This Row],[Total Purchase Amount]]-Table2428308910131415161718123942434445464748495051[[#This Row],[Principal Cost As per  NFRS (In case of Sales)]]</f>
        <v>500635.68</v>
      </c>
      <c r="N14" s="9">
        <f>N13+Table2428308910131415161718123942434445464748495051[[#This Row],[Purchase QTY]]-Table2428308910131415161718123942434445464748495051[[#This Row],[Sales Qty]]</f>
        <v>46876</v>
      </c>
      <c r="O14" s="42">
        <f>IFERROR(Table2428308910131415161718123942434445464748495051[[#This Row],[TC AP NFRS]]/Table2428308910131415161718123942434445464748495051[[#This Row],[Unit Sum]],0)</f>
        <v>10.68</v>
      </c>
      <c r="P14" s="10">
        <f>Table2428308910131415161718123942434445464748495051[[#This Row],[Sales Amt]]-Table2428308910131415161718123942434445464748495051[[#This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515115.67639999994</v>
      </c>
      <c r="AC14" s="20">
        <f t="shared" si="6"/>
        <v>10.988899999999999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IF(Table2428308910131415161718123942434445464748495051[[#This Row],[SPPU]]&gt;=0,0,Table2428308910131415161718123942434445464748495051[[#This Row],[Total Purchase Amount]]/Table2428308910131415161718123942434445464748495051[[#This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Table2428308910131415161718123942434445464748495051[[#This Row],[Sales Qty]]*O14</f>
        <v>0</v>
      </c>
      <c r="M15" s="9">
        <f>M14+Table2428308910131415161718123942434445464748495051[[#This Row],[Total Purchase Amount]]-Table2428308910131415161718123942434445464748495051[[#This Row],[Principal Cost As per  NFRS (In case of Sales)]]</f>
        <v>500635.68</v>
      </c>
      <c r="N15" s="9">
        <f>N14+Table2428308910131415161718123942434445464748495051[[#This Row],[Purchase QTY]]-Table2428308910131415161718123942434445464748495051[[#This Row],[Sales Qty]]</f>
        <v>46876</v>
      </c>
      <c r="O15" s="42">
        <f>IFERROR(Table2428308910131415161718123942434445464748495051[[#This Row],[TC AP NFRS]]/Table2428308910131415161718123942434445464748495051[[#This Row],[Unit Sum]],0)</f>
        <v>10.68</v>
      </c>
      <c r="P15" s="10">
        <f>Table2428308910131415161718123942434445464748495051[[#This Row],[Sales Amt]]-Table2428308910131415161718123942434445464748495051[[#This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515115.67639999994</v>
      </c>
      <c r="AC15" s="20">
        <f t="shared" si="6"/>
        <v>10.988899999999999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IF(Table2428308910131415161718123942434445464748495051[[#This Row],[SPPU]]&gt;=0,0,Table2428308910131415161718123942434445464748495051[[#This Row],[Total Purchase Amount]]/Table2428308910131415161718123942434445464748495051[[#This Row],[Purchase QTY]])</f>
        <v>#DIV/0!</v>
      </c>
      <c r="H16" s="9"/>
      <c r="I16" s="9">
        <v>0</v>
      </c>
      <c r="J16" s="9" t="e">
        <f>Table2428308910131415161718123942434445464748495051[[#This Row],[Sales Amt]]/Table2428308910131415161718123942434445464748495051[[#This Row],[Sales Qty]]</f>
        <v>#DIV/0!</v>
      </c>
      <c r="K16" s="9">
        <v>0</v>
      </c>
      <c r="L16" s="9">
        <f>Table2428308910131415161718123942434445464748495051[[#This Row],[Sales Qty]]*O15</f>
        <v>0</v>
      </c>
      <c r="M16" s="9">
        <f>M15+Table2428308910131415161718123942434445464748495051[[#This Row],[Total Purchase Amount]]-Table2428308910131415161718123942434445464748495051[[#This Row],[Principal Cost As per  NFRS (In case of Sales)]]</f>
        <v>500635.68</v>
      </c>
      <c r="N16" s="9">
        <f>N15+Table2428308910131415161718123942434445464748495051[[#This Row],[Purchase QTY]]-Table2428308910131415161718123942434445464748495051[[#This Row],[Sales Qty]]</f>
        <v>46876</v>
      </c>
      <c r="O16" s="42">
        <f>IFERROR(Table2428308910131415161718123942434445464748495051[[#This Row],[TC AP NFRS]]/Table2428308910131415161718123942434445464748495051[[#This Row],[Unit Sum]],0)</f>
        <v>10.68</v>
      </c>
      <c r="P16" s="10">
        <f>Table2428308910131415161718123942434445464748495051[[#This Row],[Sales Amt]]-Table2428308910131415161718123942434445464748495051[[#This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515115.67639999994</v>
      </c>
      <c r="AC16" s="20">
        <f t="shared" si="6"/>
        <v>10.988899999999999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46876</v>
      </c>
      <c r="G17" s="15"/>
      <c r="H17" s="15">
        <f ca="1">SUM(INDIRECT("h4:h"&amp;ROW()-1))</f>
        <v>500635.68</v>
      </c>
      <c r="I17" s="15">
        <f ca="1">SUM(INDIRECT("i4:i"&amp;ROW()-1))</f>
        <v>0</v>
      </c>
      <c r="J17" s="15" t="e">
        <f ca="1">Table2428308910131415161718123942434445464748495051[[#This Row],[Sales Amt]]/Table2428308910131415161718123942434445464748495051[[#This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Table2428308910131415161718123942434445464748495051[[#This Row],[Total Purchase Amount]]-Table2428308910131415161718123942434445464748495051[[#This Row],[Principal Cost As per  NFRS (In case of Sales)]]</f>
        <v>500635.68</v>
      </c>
      <c r="N17" s="15">
        <f ca="1">Table2428308910131415161718123942434445464748495051[[#This Row],[Purchase QTY]]-Table2428308910131415161718123942434445464748495051[[#This Row],[Sales Qty]]</f>
        <v>46876</v>
      </c>
      <c r="O17" s="43">
        <f ca="1">IFERROR(Table2428308910131415161718123942434445464748495051[[#This Row],[TC AP NFRS]]/Table2428308910131415161718123942434445464748495051[[#This Row],[Unit Sum]],0)</f>
        <v>10.68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515115.67639999994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515115.67639999994</v>
      </c>
      <c r="AC17" s="24">
        <f t="shared" ca="1" si="6"/>
        <v>10.988899999999999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514</v>
      </c>
      <c r="C21" s="97"/>
      <c r="D21" s="98">
        <v>45886</v>
      </c>
      <c r="E21" s="99" t="s">
        <v>19</v>
      </c>
      <c r="F21" s="59">
        <v>46876</v>
      </c>
      <c r="G21" s="59"/>
      <c r="H21" s="59">
        <v>500635.68</v>
      </c>
      <c r="I21" s="59"/>
      <c r="J21" s="59"/>
      <c r="K21" s="59"/>
      <c r="L21" s="59"/>
      <c r="M21" s="59">
        <v>500635.68</v>
      </c>
      <c r="N21" s="59">
        <v>46876</v>
      </c>
      <c r="O21" s="59">
        <v>10.68</v>
      </c>
      <c r="P21" s="59"/>
      <c r="Q21" s="59"/>
      <c r="R21" s="59"/>
      <c r="S21" s="59"/>
      <c r="T21" s="59"/>
      <c r="U21" s="59">
        <v>515115.67639999994</v>
      </c>
      <c r="V21" s="59"/>
      <c r="W21" s="59"/>
      <c r="X21" s="59"/>
      <c r="Y21" s="59"/>
      <c r="Z21" s="59"/>
      <c r="AA21" s="59"/>
      <c r="AB21" s="59">
        <v>515115.67639999994</v>
      </c>
      <c r="AC21" s="59">
        <v>10.988899999999999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07425E-146B-4939-B7A4-BF93C1D5B9C2}">
          <x14:formula1>
            <xm:f>VALIDATION!$A$2:$A$7</xm:f>
          </x14:formula1>
          <xm:sqref>E7:E16 E21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699B-D4BB-4C31-B5D7-3920FFD25B33}">
  <dimension ref="A1:AE21"/>
  <sheetViews>
    <sheetView zoomScaleNormal="100" workbookViewId="0">
      <selection activeCell="AD19" sqref="A19:AD20"/>
    </sheetView>
  </sheetViews>
  <sheetFormatPr defaultRowHeight="15" x14ac:dyDescent="0.25"/>
  <cols>
    <col min="1" max="1" width="4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689</v>
      </c>
      <c r="C7" s="6"/>
      <c r="D7" s="7">
        <v>45855</v>
      </c>
      <c r="E7" s="8" t="s">
        <v>19</v>
      </c>
      <c r="F7" s="9">
        <v>2935</v>
      </c>
      <c r="G7" s="9">
        <f>Table242830891013141516171812394243444546474849505152[[#This Row],[Total Purchase Amount]]/Table242830891013141516171812394243444546474849505152[[#This Row],[Purchase QTY]]</f>
        <v>10.15</v>
      </c>
      <c r="H7" s="9">
        <v>29790.25</v>
      </c>
      <c r="I7" s="9"/>
      <c r="J7" s="9"/>
      <c r="K7" s="9"/>
      <c r="L7" s="9"/>
      <c r="M7" s="9">
        <f>Table242830891013141516171812394243444546474849505152[[#This Row],[Total Purchase Amount]]</f>
        <v>29790.25</v>
      </c>
      <c r="N7" s="9">
        <f>IF(Table242830891013141516171812394243444546474849505152[[#This Row],[Txn Type]]="opening",Table242830891013141516171812394243444546474849505152[[#This Row],[Purchase QTY]],"Error")</f>
        <v>2935</v>
      </c>
      <c r="O7" s="42">
        <f>IFERROR(Table242830891013141516171812394243444546474849505152[[#This Row],[TC AP NFRS]]/Table242830891013141516171812394243444546474849505152[[#This Row],[Unit Sum]],0)</f>
        <v>10.15</v>
      </c>
      <c r="P7" s="10">
        <f>Table242830891013141516171812394243444546474849505152[[#This Row],[Sales Amt]]-Table242830891013141516171812394243444546474849505152[[#This Row],[Principal Cost As per  NFRS (In case of Sales)]]</f>
        <v>0</v>
      </c>
      <c r="R7" s="17"/>
      <c r="S7" s="17"/>
      <c r="T7" s="20">
        <f>R7+S7</f>
        <v>0</v>
      </c>
      <c r="U7" s="20">
        <f>AB7</f>
        <v>28424.594499999999</v>
      </c>
      <c r="V7" s="20"/>
      <c r="W7" s="20"/>
      <c r="X7" s="20"/>
      <c r="Y7" s="46"/>
      <c r="Z7" s="46"/>
      <c r="AA7" s="46"/>
      <c r="AB7" s="46">
        <f>F7*AC7</f>
        <v>28424.594499999999</v>
      </c>
      <c r="AC7" s="46">
        <v>9.6846999999999994</v>
      </c>
      <c r="AD7" s="58"/>
    </row>
    <row r="8" spans="1:31" x14ac:dyDescent="0.25">
      <c r="A8" s="5">
        <f>A7+1</f>
        <v>2</v>
      </c>
      <c r="B8" s="6" t="str">
        <f>B7</f>
        <v>NICFC</v>
      </c>
      <c r="C8" s="6"/>
      <c r="D8" s="7"/>
      <c r="E8" s="8"/>
      <c r="F8" s="9">
        <v>0</v>
      </c>
      <c r="G8" s="9">
        <f>IFERROR(Table242830891013141516171812394243444546474849505152[[#This Row],[Total Purchase Amount]]/Table242830891013141516171812394243444546474849505152[[#This Row],[Purchase QTY]],0)</f>
        <v>0</v>
      </c>
      <c r="H8" s="9">
        <v>0</v>
      </c>
      <c r="I8" s="9">
        <v>0</v>
      </c>
      <c r="J8" s="9" t="e">
        <f>Table242830891013141516171812394243444546474849505152[[#This Row],[Sales Amt]]/Table242830891013141516171812394243444546474849505152[[#This Row],[Sales Qty]]</f>
        <v>#DIV/0!</v>
      </c>
      <c r="K8" s="9">
        <v>0</v>
      </c>
      <c r="L8" s="9">
        <f>Table242830891013141516171812394243444546474849505152[[#This Row],[Sales Qty]]*O7</f>
        <v>0</v>
      </c>
      <c r="M8" s="9">
        <f>M7+Table242830891013141516171812394243444546474849505152[[#This Row],[Total Purchase Amount]]-Table242830891013141516171812394243444546474849505152[[#This Row],[Principal Cost As per  NFRS (In case of Sales)]]</f>
        <v>29790.25</v>
      </c>
      <c r="N8" s="9">
        <f>N7+Table242830891013141516171812394243444546474849505152[[#This Row],[Purchase QTY]]-Table242830891013141516171812394243444546474849505152[[#This Row],[Sales Qty]]</f>
        <v>2935</v>
      </c>
      <c r="O8" s="42">
        <f>IFERROR(Table242830891013141516171812394243444546474849505152[[#This Row],[TC AP NFRS]]/Table242830891013141516171812394243444546474849505152[[#This Row],[Unit Sum]],0)</f>
        <v>10.15</v>
      </c>
      <c r="P8" s="10">
        <f>Table242830891013141516171812394243444546474849505152[[#This Row],[Sales Amt]]-Table242830891013141516171812394243444546474849505152[[#This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28424.594499999999</v>
      </c>
      <c r="AC8" s="20">
        <f>IFERROR(AB8/N8,0)</f>
        <v>9.6846999999999994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IF(Table242830891013141516171812394243444546474849505152[[#This Row],[SPPU]]&gt;=0,0,Table242830891013141516171812394243444546474849505152[[#This Row],[Total Purchase Amount]]/Table242830891013141516171812394243444546474849505152[[#This Row],[Purchase QTY]])</f>
        <v>0</v>
      </c>
      <c r="H9" s="9">
        <v>0</v>
      </c>
      <c r="I9" s="9">
        <v>0</v>
      </c>
      <c r="J9" s="9">
        <f>IFERROR(Table242830891013141516171812394243444546474849505152[[#This Row],[Sales Amt]]/Table242830891013141516171812394243444546474849505152[[#This Row],[Sales Qty]],0)</f>
        <v>0</v>
      </c>
      <c r="K9" s="9">
        <v>0</v>
      </c>
      <c r="L9" s="9">
        <f>Table242830891013141516171812394243444546474849505152[[#This Row],[Sales Qty]]*O8</f>
        <v>0</v>
      </c>
      <c r="M9" s="9">
        <f>M8+Table242830891013141516171812394243444546474849505152[[#This Row],[Total Purchase Amount]]-Table242830891013141516171812394243444546474849505152[[#This Row],[Principal Cost As per  NFRS (In case of Sales)]]</f>
        <v>29790.25</v>
      </c>
      <c r="N9" s="9">
        <f>N8+Table242830891013141516171812394243444546474849505152[[#This Row],[Purchase QTY]]-Table242830891013141516171812394243444546474849505152[[#This Row],[Sales Qty]]</f>
        <v>2935</v>
      </c>
      <c r="O9" s="42">
        <f>IFERROR(Table242830891013141516171812394243444546474849505152[[#This Row],[TC AP NFRS]]/Table242830891013141516171812394243444546474849505152[[#This Row],[Unit Sum]],0)</f>
        <v>10.15</v>
      </c>
      <c r="P9" s="10">
        <f>Table242830891013141516171812394243444546474849505152[[#This Row],[Sales Amt]]-Table242830891013141516171812394243444546474849505152[[#This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28424.594499999999</v>
      </c>
      <c r="AC9" s="20">
        <f t="shared" ref="AC9:AC17" si="6">IFERROR(AB9/N9,0)</f>
        <v>9.6846999999999994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IF(Table242830891013141516171812394243444546474849505152[[#This Row],[SPPU]]&gt;=0,0,Table242830891013141516171812394243444546474849505152[[#This Row],[Total Purchase Amount]]/Table242830891013141516171812394243444546474849505152[[#This Row],[Purchase QTY]])</f>
        <v>0</v>
      </c>
      <c r="H10" s="9"/>
      <c r="I10" s="9">
        <v>0</v>
      </c>
      <c r="J10" s="9">
        <f>IFERROR(Table242830891013141516171812394243444546474849505152[[#This Row],[Sales Amt]]/Table242830891013141516171812394243444546474849505152[[#This Row],[Sales Qty]],0)</f>
        <v>0</v>
      </c>
      <c r="K10" s="9">
        <v>0</v>
      </c>
      <c r="L10" s="9">
        <f>Table242830891013141516171812394243444546474849505152[[#This Row],[Sales Qty]]*O9</f>
        <v>0</v>
      </c>
      <c r="M10" s="9">
        <f>M9+Table242830891013141516171812394243444546474849505152[[#This Row],[Total Purchase Amount]]-Table242830891013141516171812394243444546474849505152[[#This Row],[Principal Cost As per  NFRS (In case of Sales)]]</f>
        <v>29790.25</v>
      </c>
      <c r="N10" s="9">
        <f>N9+Table242830891013141516171812394243444546474849505152[[#This Row],[Purchase QTY]]-Table242830891013141516171812394243444546474849505152[[#This Row],[Sales Qty]]</f>
        <v>2935</v>
      </c>
      <c r="O10" s="42">
        <f>IFERROR(Table242830891013141516171812394243444546474849505152[[#This Row],[TC AP NFRS]]/Table242830891013141516171812394243444546474849505152[[#This Row],[Unit Sum]],0)</f>
        <v>10.15</v>
      </c>
      <c r="P10" s="10">
        <f>Table242830891013141516171812394243444546474849505152[[#This Row],[Sales Amt]]-Table242830891013141516171812394243444546474849505152[[#This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28424.594499999999</v>
      </c>
      <c r="AC10" s="20">
        <f t="shared" si="6"/>
        <v>9.6846999999999994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IF(Table242830891013141516171812394243444546474849505152[[#This Row],[SPPU]]&gt;=0,0,Table242830891013141516171812394243444546474849505152[[#This Row],[Total Purchase Amount]]/Table242830891013141516171812394243444546474849505152[[#This Row],[Purchase QTY]])</f>
        <v>#DIV/0!</v>
      </c>
      <c r="H11" s="9"/>
      <c r="I11" s="9">
        <v>0</v>
      </c>
      <c r="J11" s="9" t="e">
        <f>Table242830891013141516171812394243444546474849505152[[#This Row],[Sales Amt]]/Table242830891013141516171812394243444546474849505152[[#This Row],[Sales Qty]]</f>
        <v>#DIV/0!</v>
      </c>
      <c r="K11" s="9">
        <v>0</v>
      </c>
      <c r="L11" s="9">
        <f>Table242830891013141516171812394243444546474849505152[[#This Row],[Sales Qty]]*O10</f>
        <v>0</v>
      </c>
      <c r="M11" s="9">
        <f>M10+Table242830891013141516171812394243444546474849505152[[#This Row],[Total Purchase Amount]]-Table242830891013141516171812394243444546474849505152[[#This Row],[Principal Cost As per  NFRS (In case of Sales)]]</f>
        <v>29790.25</v>
      </c>
      <c r="N11" s="9">
        <f>N10+Table242830891013141516171812394243444546474849505152[[#This Row],[Purchase QTY]]-Table242830891013141516171812394243444546474849505152[[#This Row],[Sales Qty]]</f>
        <v>2935</v>
      </c>
      <c r="O11" s="42">
        <f>IFERROR(Table242830891013141516171812394243444546474849505152[[#This Row],[TC AP NFRS]]/Table242830891013141516171812394243444546474849505152[[#This Row],[Unit Sum]],0)</f>
        <v>10.15</v>
      </c>
      <c r="P11" s="10">
        <f>Table242830891013141516171812394243444546474849505152[[#This Row],[Sales Amt]]-Table242830891013141516171812394243444546474849505152[[#This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28424.594499999999</v>
      </c>
      <c r="AC11" s="20">
        <f t="shared" si="6"/>
        <v>9.6846999999999994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Table242830891013141516171812394243444546474849505152[[#This Row],[Total Purchase Amount]]/Table242830891013141516171812394243444546474849505152[[#This Row],[Purchase QTY]]</f>
        <v>#DIV/0!</v>
      </c>
      <c r="H12" s="9">
        <v>0</v>
      </c>
      <c r="I12" s="9">
        <v>0</v>
      </c>
      <c r="J12" s="9">
        <f ca="1">IFERROR(Table242830891013141516171812394243444546474849505152[[#This Row],[Sales Amt]]/Table242830891013141516171812394243444546474849505152[[#This Row],[Sales Qty]],0)</f>
        <v>0</v>
      </c>
      <c r="K12" s="9">
        <f ca="1">Table242830891013141516171812394243444546474849505152[[#This Row],[Sales Qty]]*Table242830891013141516171812394243444546474849505152[[#This Row],[SPPU]]</f>
        <v>0</v>
      </c>
      <c r="L12" s="9">
        <f>Table242830891013141516171812394243444546474849505152[[#This Row],[Sales Qty]]*O11</f>
        <v>0</v>
      </c>
      <c r="M12" s="9">
        <f>M11+Table242830891013141516171812394243444546474849505152[[#This Row],[Total Purchase Amount]]-Table242830891013141516171812394243444546474849505152[[#This Row],[Principal Cost As per  NFRS (In case of Sales)]]</f>
        <v>29790.25</v>
      </c>
      <c r="N12" s="9">
        <f>N11+Table242830891013141516171812394243444546474849505152[[#This Row],[Purchase QTY]]-Table242830891013141516171812394243444546474849505152[[#This Row],[Sales Qty]]</f>
        <v>2935</v>
      </c>
      <c r="O12" s="42">
        <f>IFERROR(Table242830891013141516171812394243444546474849505152[[#This Row],[TC AP NFRS]]/Table242830891013141516171812394243444546474849505152[[#This Row],[Unit Sum]],0)</f>
        <v>10.15</v>
      </c>
      <c r="P12" s="10">
        <f ca="1">Table242830891013141516171812394243444546474849505152[[#This Row],[Sales Amt]]-Table242830891013141516171812394243444546474849505152[[#This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28424.594499999999</v>
      </c>
      <c r="AC12" s="20">
        <f t="shared" si="6"/>
        <v>9.6846999999999994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Table242830891013141516171812394243444546474849505152[[#This Row],[Total Purchase Amount]]/Table242830891013141516171812394243444546474849505152[[#This Row],[Purchase QTY]]</f>
        <v>#DIV/0!</v>
      </c>
      <c r="H13" s="9">
        <v>0</v>
      </c>
      <c r="I13" s="9">
        <v>0</v>
      </c>
      <c r="J13" s="9">
        <f ca="1">IFERROR(Table242830891013141516171812394243444546474849505152[[#This Row],[Sales Amt]]/Table242830891013141516171812394243444546474849505152[[#This Row],[Sales Qty]],0)</f>
        <v>0</v>
      </c>
      <c r="K13" s="9">
        <f ca="1">Table242830891013141516171812394243444546474849505152[[#This Row],[Sales Qty]]*Table242830891013141516171812394243444546474849505152[[#This Row],[SPPU]]</f>
        <v>0</v>
      </c>
      <c r="L13" s="9">
        <f>Table242830891013141516171812394243444546474849505152[[#This Row],[Sales Qty]]*O12</f>
        <v>0</v>
      </c>
      <c r="M13" s="9">
        <f>M12+Table242830891013141516171812394243444546474849505152[[#This Row],[Total Purchase Amount]]-Table242830891013141516171812394243444546474849505152[[#This Row],[Principal Cost As per  NFRS (In case of Sales)]]</f>
        <v>29790.25</v>
      </c>
      <c r="N13" s="9">
        <f>N12+Table242830891013141516171812394243444546474849505152[[#This Row],[Purchase QTY]]-Table242830891013141516171812394243444546474849505152[[#This Row],[Sales Qty]]</f>
        <v>2935</v>
      </c>
      <c r="O13" s="42">
        <f>IFERROR(Table242830891013141516171812394243444546474849505152[[#This Row],[TC AP NFRS]]/Table242830891013141516171812394243444546474849505152[[#This Row],[Unit Sum]],0)</f>
        <v>10.15</v>
      </c>
      <c r="P13" s="10">
        <f ca="1">Table242830891013141516171812394243444546474849505152[[#This Row],[Sales Amt]]-Table242830891013141516171812394243444546474849505152[[#This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28424.594499999999</v>
      </c>
      <c r="AC13" s="20">
        <f t="shared" si="6"/>
        <v>9.6846999999999994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IF(Table242830891013141516171812394243444546474849505152[[#This Row],[SPPU]]&gt;=0,0,Table242830891013141516171812394243444546474849505152[[#This Row],[Total Purchase Amount]]/Table242830891013141516171812394243444546474849505152[[#This Row],[Purchase QTY]])</f>
        <v>0</v>
      </c>
      <c r="H14" s="9"/>
      <c r="I14" s="9">
        <v>0</v>
      </c>
      <c r="J14" s="9">
        <f>IFERROR(Table242830891013141516171812394243444546474849505152[[#This Row],[Sales Amt]]/Table242830891013141516171812394243444546474849505152[[#This Row],[Sales Qty]],0)</f>
        <v>0</v>
      </c>
      <c r="K14" s="9">
        <v>0</v>
      </c>
      <c r="L14" s="9">
        <f>Table242830891013141516171812394243444546474849505152[[#This Row],[Sales Qty]]*O12</f>
        <v>0</v>
      </c>
      <c r="M14" s="9">
        <f>M13+Table242830891013141516171812394243444546474849505152[[#This Row],[Total Purchase Amount]]-Table242830891013141516171812394243444546474849505152[[#This Row],[Principal Cost As per  NFRS (In case of Sales)]]</f>
        <v>29790.25</v>
      </c>
      <c r="N14" s="9">
        <f>N13+Table242830891013141516171812394243444546474849505152[[#This Row],[Purchase QTY]]-Table242830891013141516171812394243444546474849505152[[#This Row],[Sales Qty]]</f>
        <v>2935</v>
      </c>
      <c r="O14" s="42">
        <f>IFERROR(Table242830891013141516171812394243444546474849505152[[#This Row],[TC AP NFRS]]/Table242830891013141516171812394243444546474849505152[[#This Row],[Unit Sum]],0)</f>
        <v>10.15</v>
      </c>
      <c r="P14" s="10">
        <f>Table242830891013141516171812394243444546474849505152[[#This Row],[Sales Amt]]-Table242830891013141516171812394243444546474849505152[[#This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28424.594499999999</v>
      </c>
      <c r="AC14" s="20">
        <f t="shared" si="6"/>
        <v>9.6846999999999994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IF(Table242830891013141516171812394243444546474849505152[[#This Row],[SPPU]]&gt;=0,0,Table242830891013141516171812394243444546474849505152[[#This Row],[Total Purchase Amount]]/Table242830891013141516171812394243444546474849505152[[#This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Table242830891013141516171812394243444546474849505152[[#This Row],[Sales Qty]]*O14</f>
        <v>0</v>
      </c>
      <c r="M15" s="9">
        <f>M14+Table242830891013141516171812394243444546474849505152[[#This Row],[Total Purchase Amount]]-Table242830891013141516171812394243444546474849505152[[#This Row],[Principal Cost As per  NFRS (In case of Sales)]]</f>
        <v>29790.25</v>
      </c>
      <c r="N15" s="9">
        <f>N14+Table242830891013141516171812394243444546474849505152[[#This Row],[Purchase QTY]]-Table242830891013141516171812394243444546474849505152[[#This Row],[Sales Qty]]</f>
        <v>2935</v>
      </c>
      <c r="O15" s="42">
        <f>IFERROR(Table242830891013141516171812394243444546474849505152[[#This Row],[TC AP NFRS]]/Table242830891013141516171812394243444546474849505152[[#This Row],[Unit Sum]],0)</f>
        <v>10.15</v>
      </c>
      <c r="P15" s="10">
        <f>Table242830891013141516171812394243444546474849505152[[#This Row],[Sales Amt]]-Table242830891013141516171812394243444546474849505152[[#This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28424.594499999999</v>
      </c>
      <c r="AC15" s="20">
        <f t="shared" si="6"/>
        <v>9.6846999999999994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IF(Table242830891013141516171812394243444546474849505152[[#This Row],[SPPU]]&gt;=0,0,Table242830891013141516171812394243444546474849505152[[#This Row],[Total Purchase Amount]]/Table242830891013141516171812394243444546474849505152[[#This Row],[Purchase QTY]])</f>
        <v>#DIV/0!</v>
      </c>
      <c r="H16" s="9"/>
      <c r="I16" s="9">
        <v>0</v>
      </c>
      <c r="J16" s="9" t="e">
        <f>Table242830891013141516171812394243444546474849505152[[#This Row],[Sales Amt]]/Table242830891013141516171812394243444546474849505152[[#This Row],[Sales Qty]]</f>
        <v>#DIV/0!</v>
      </c>
      <c r="K16" s="9">
        <v>0</v>
      </c>
      <c r="L16" s="9">
        <f>Table242830891013141516171812394243444546474849505152[[#This Row],[Sales Qty]]*O15</f>
        <v>0</v>
      </c>
      <c r="M16" s="9">
        <f>M15+Table242830891013141516171812394243444546474849505152[[#This Row],[Total Purchase Amount]]-Table242830891013141516171812394243444546474849505152[[#This Row],[Principal Cost As per  NFRS (In case of Sales)]]</f>
        <v>29790.25</v>
      </c>
      <c r="N16" s="9">
        <f>N15+Table242830891013141516171812394243444546474849505152[[#This Row],[Purchase QTY]]-Table242830891013141516171812394243444546474849505152[[#This Row],[Sales Qty]]</f>
        <v>2935</v>
      </c>
      <c r="O16" s="42">
        <f>IFERROR(Table242830891013141516171812394243444546474849505152[[#This Row],[TC AP NFRS]]/Table242830891013141516171812394243444546474849505152[[#This Row],[Unit Sum]],0)</f>
        <v>10.15</v>
      </c>
      <c r="P16" s="10">
        <f>Table242830891013141516171812394243444546474849505152[[#This Row],[Sales Amt]]-Table242830891013141516171812394243444546474849505152[[#This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28424.594499999999</v>
      </c>
      <c r="AC16" s="20">
        <f t="shared" si="6"/>
        <v>9.6846999999999994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2935</v>
      </c>
      <c r="G17" s="15"/>
      <c r="H17" s="15">
        <f ca="1">SUM(INDIRECT("h4:h"&amp;ROW()-1))</f>
        <v>29790.25</v>
      </c>
      <c r="I17" s="15">
        <f ca="1">SUM(INDIRECT("i4:i"&amp;ROW()-1))</f>
        <v>0</v>
      </c>
      <c r="J17" s="15" t="e">
        <f ca="1">Table242830891013141516171812394243444546474849505152[[#This Row],[Sales Amt]]/Table242830891013141516171812394243444546474849505152[[#This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Table242830891013141516171812394243444546474849505152[[#This Row],[Total Purchase Amount]]-Table242830891013141516171812394243444546474849505152[[#This Row],[Principal Cost As per  NFRS (In case of Sales)]]</f>
        <v>29790.25</v>
      </c>
      <c r="N17" s="15">
        <f ca="1">Table242830891013141516171812394243444546474849505152[[#This Row],[Purchase QTY]]-Table242830891013141516171812394243444546474849505152[[#This Row],[Sales Qty]]</f>
        <v>2935</v>
      </c>
      <c r="O17" s="43">
        <f ca="1">IFERROR(Table242830891013141516171812394243444546474849505152[[#This Row],[TC AP NFRS]]/Table242830891013141516171812394243444546474849505152[[#This Row],[Unit Sum]],0)</f>
        <v>10.15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28424.594499999999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28424.594499999999</v>
      </c>
      <c r="AC17" s="24">
        <f t="shared" ca="1" si="6"/>
        <v>9.6846999999999994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689</v>
      </c>
      <c r="C21" s="97"/>
      <c r="D21" s="98">
        <v>45886</v>
      </c>
      <c r="E21" s="99" t="s">
        <v>19</v>
      </c>
      <c r="F21" s="59">
        <v>2935</v>
      </c>
      <c r="G21" s="59"/>
      <c r="H21" s="59">
        <v>29790.25</v>
      </c>
      <c r="I21" s="59"/>
      <c r="J21" s="59"/>
      <c r="K21" s="59"/>
      <c r="L21" s="59"/>
      <c r="M21" s="59">
        <v>29790.25</v>
      </c>
      <c r="N21" s="59">
        <v>2935</v>
      </c>
      <c r="O21" s="59">
        <v>10.15</v>
      </c>
      <c r="P21" s="59"/>
      <c r="Q21" s="59"/>
      <c r="R21" s="59"/>
      <c r="S21" s="59"/>
      <c r="T21" s="59"/>
      <c r="U21" s="59">
        <v>28424.594499999999</v>
      </c>
      <c r="V21" s="59"/>
      <c r="W21" s="59"/>
      <c r="X21" s="59"/>
      <c r="Y21" s="59"/>
      <c r="Z21" s="59"/>
      <c r="AA21" s="59"/>
      <c r="AB21" s="59">
        <v>28424.594499999999</v>
      </c>
      <c r="AC21" s="59">
        <v>9.6846999999999994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36E2E6-4251-4A0A-8228-FEF753EB293B}">
          <x14:formula1>
            <xm:f>VALIDATION!$A$2:$A$7</xm:f>
          </x14:formula1>
          <xm:sqref>E7:E16 E21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7BC6-6972-44A6-876C-E3B2D7E25231}">
  <dimension ref="A1:AE21"/>
  <sheetViews>
    <sheetView zoomScaleNormal="100" workbookViewId="0">
      <selection activeCell="AD21" sqref="AD21"/>
    </sheetView>
  </sheetViews>
  <sheetFormatPr defaultRowHeight="15" x14ac:dyDescent="0.25"/>
  <cols>
    <col min="1" max="1" width="2.5703125" customWidth="1"/>
    <col min="2" max="2" width="15.140625" customWidth="1"/>
    <col min="3" max="3" width="16.85546875" bestFit="1" customWidth="1"/>
    <col min="4" max="4" width="10.28515625" bestFit="1" customWidth="1"/>
    <col min="5" max="5" width="8.7109375" customWidth="1"/>
    <col min="6" max="6" width="12" bestFit="1" customWidth="1"/>
    <col min="7" max="7" width="9" bestFit="1" customWidth="1"/>
    <col min="8" max="8" width="16.28515625" bestFit="1" customWidth="1"/>
    <col min="9" max="9" width="9.140625" bestFit="1" customWidth="1"/>
    <col min="10" max="10" width="8.42578125" bestFit="1" customWidth="1"/>
    <col min="11" max="11" width="9.42578125" bestFit="1" customWidth="1"/>
    <col min="12" max="12" width="13" bestFit="1" customWidth="1"/>
    <col min="13" max="13" width="16.28515625" bestFit="1" customWidth="1"/>
    <col min="14" max="14" width="12" bestFit="1" customWidth="1"/>
    <col min="15" max="15" width="11" bestFit="1" customWidth="1"/>
    <col min="16" max="16" width="13.140625" bestFit="1" customWidth="1"/>
    <col min="17" max="17" width="1.85546875" customWidth="1"/>
    <col min="18" max="18" width="11.5703125" bestFit="1" customWidth="1"/>
    <col min="19" max="19" width="8.85546875" bestFit="1" customWidth="1"/>
    <col min="20" max="20" width="11.5703125" bestFit="1" customWidth="1"/>
    <col min="21" max="21" width="15.5703125" bestFit="1" customWidth="1"/>
    <col min="22" max="22" width="11.5703125" bestFit="1" customWidth="1"/>
    <col min="23" max="23" width="10.5703125" customWidth="1"/>
    <col min="24" max="24" width="11.5703125" bestFit="1" customWidth="1"/>
    <col min="25" max="25" width="10.140625" bestFit="1" customWidth="1"/>
    <col min="26" max="26" width="15.5703125" bestFit="1" customWidth="1"/>
    <col min="27" max="27" width="16.140625" customWidth="1"/>
    <col min="28" max="28" width="15.5703125" bestFit="1" customWidth="1"/>
    <col min="29" max="29" width="11.42578125" customWidth="1"/>
    <col min="30" max="30" width="15.5703125" bestFit="1" customWidth="1"/>
  </cols>
  <sheetData>
    <row r="1" spans="1:31" ht="18.75" x14ac:dyDescent="0.3">
      <c r="A1" s="67" t="s">
        <v>177</v>
      </c>
    </row>
    <row r="2" spans="1:31" ht="18.75" x14ac:dyDescent="0.3">
      <c r="A2" s="67" t="s">
        <v>178</v>
      </c>
    </row>
    <row r="3" spans="1:31" ht="18.75" x14ac:dyDescent="0.3">
      <c r="A3" s="67" t="s">
        <v>179</v>
      </c>
    </row>
    <row r="4" spans="1:31" x14ac:dyDescent="0.25">
      <c r="V4" s="48"/>
    </row>
    <row r="5" spans="1:31" ht="14.45" customHeight="1" x14ac:dyDescent="0.25">
      <c r="A5" t="s">
        <v>58</v>
      </c>
      <c r="R5" s="120" t="s">
        <v>20</v>
      </c>
      <c r="S5" s="121"/>
      <c r="T5" s="121"/>
      <c r="U5" s="50"/>
      <c r="V5" s="120" t="s">
        <v>67</v>
      </c>
      <c r="W5" s="121"/>
      <c r="X5" s="121"/>
      <c r="Y5" s="123" t="s">
        <v>13</v>
      </c>
      <c r="Z5" s="124" t="s">
        <v>10</v>
      </c>
      <c r="AA5" s="125" t="s">
        <v>66</v>
      </c>
      <c r="AB5" s="123" t="s">
        <v>15</v>
      </c>
      <c r="AC5" s="123" t="s">
        <v>18</v>
      </c>
      <c r="AD5" s="123" t="s">
        <v>12</v>
      </c>
    </row>
    <row r="6" spans="1:31" ht="75" x14ac:dyDescent="0.25">
      <c r="A6" s="1" t="s">
        <v>57</v>
      </c>
      <c r="B6" s="2" t="s">
        <v>0</v>
      </c>
      <c r="C6" s="2" t="s">
        <v>53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51</v>
      </c>
      <c r="I6" s="2" t="s">
        <v>6</v>
      </c>
      <c r="J6" s="16" t="s">
        <v>7</v>
      </c>
      <c r="K6" s="16" t="s">
        <v>8</v>
      </c>
      <c r="L6" s="2" t="s">
        <v>50</v>
      </c>
      <c r="M6" s="2" t="s">
        <v>14</v>
      </c>
      <c r="N6" s="2" t="s">
        <v>16</v>
      </c>
      <c r="O6" s="4" t="s">
        <v>17</v>
      </c>
      <c r="P6" s="3" t="s">
        <v>11</v>
      </c>
      <c r="R6" s="2" t="s">
        <v>65</v>
      </c>
      <c r="S6" s="2" t="s">
        <v>62</v>
      </c>
      <c r="T6" s="2" t="s">
        <v>5</v>
      </c>
      <c r="U6" s="2" t="s">
        <v>164</v>
      </c>
      <c r="V6" s="16" t="s">
        <v>64</v>
      </c>
      <c r="W6" s="16" t="s">
        <v>62</v>
      </c>
      <c r="X6" s="45" t="s">
        <v>9</v>
      </c>
      <c r="Y6" s="123"/>
      <c r="Z6" s="124"/>
      <c r="AA6" s="125"/>
      <c r="AB6" s="123"/>
      <c r="AC6" s="123"/>
      <c r="AD6" s="123"/>
      <c r="AE6" s="47"/>
    </row>
    <row r="7" spans="1:31" x14ac:dyDescent="0.25">
      <c r="A7" s="5">
        <v>1</v>
      </c>
      <c r="B7" s="6" t="s">
        <v>856</v>
      </c>
      <c r="C7" s="6"/>
      <c r="D7" s="7">
        <v>45855</v>
      </c>
      <c r="E7" s="8" t="s">
        <v>19</v>
      </c>
      <c r="F7" s="9">
        <v>3400</v>
      </c>
      <c r="G7" s="9">
        <f>Table24283089101314151617181239424344454647484950515253[[#This Row],[Total Purchase Amount]]/Table24283089101314151617181239424344454647484950515253[[#This Row],[Purchase QTY]]</f>
        <v>11.6</v>
      </c>
      <c r="H7" s="9">
        <v>39440</v>
      </c>
      <c r="I7" s="9"/>
      <c r="J7" s="9"/>
      <c r="K7" s="9"/>
      <c r="L7" s="9"/>
      <c r="M7" s="9">
        <f>Table24283089101314151617181239424344454647484950515253[[#This Row],[Total Purchase Amount]]</f>
        <v>39440</v>
      </c>
      <c r="N7" s="9">
        <f>IF(Table24283089101314151617181239424344454647484950515253[[#This Row],[Txn Type]]="opening",Table24283089101314151617181239424344454647484950515253[[#This Row],[Purchase QTY]],"Error")</f>
        <v>3400</v>
      </c>
      <c r="O7" s="42">
        <f>IFERROR(Table24283089101314151617181239424344454647484950515253[[#This Row],[TC AP NFRS]]/Table24283089101314151617181239424344454647484950515253[[#This Row],[Unit Sum]],0)</f>
        <v>11.6</v>
      </c>
      <c r="P7" s="10">
        <f>Table24283089101314151617181239424344454647484950515253[[#This Row],[Sales Amt]]-Table24283089101314151617181239424344454647484950515253[[#This Row],[Principal Cost As per  NFRS (In case of Sales)]]</f>
        <v>0</v>
      </c>
      <c r="R7" s="17"/>
      <c r="S7" s="17"/>
      <c r="T7" s="20">
        <f>R7+S7</f>
        <v>0</v>
      </c>
      <c r="U7" s="20">
        <f>AB7</f>
        <v>36811.120000000003</v>
      </c>
      <c r="V7" s="20"/>
      <c r="W7" s="20"/>
      <c r="X7" s="20"/>
      <c r="Y7" s="46"/>
      <c r="Z7" s="46"/>
      <c r="AA7" s="46"/>
      <c r="AB7" s="46">
        <f>F7*AC7</f>
        <v>36811.120000000003</v>
      </c>
      <c r="AC7" s="46">
        <v>10.8268</v>
      </c>
      <c r="AD7" s="58"/>
    </row>
    <row r="8" spans="1:31" x14ac:dyDescent="0.25">
      <c r="A8" s="5">
        <f>A7+1</f>
        <v>2</v>
      </c>
      <c r="B8" s="6" t="str">
        <f>B7</f>
        <v>H8020</v>
      </c>
      <c r="C8" s="6"/>
      <c r="D8" s="7"/>
      <c r="E8" s="8"/>
      <c r="F8" s="9">
        <v>0</v>
      </c>
      <c r="G8" s="9">
        <f>IFERROR(Table24283089101314151617181239424344454647484950515253[[#This Row],[Total Purchase Amount]]/Table24283089101314151617181239424344454647484950515253[[#This Row],[Purchase QTY]],0)</f>
        <v>0</v>
      </c>
      <c r="H8" s="9">
        <v>0</v>
      </c>
      <c r="I8" s="9">
        <v>0</v>
      </c>
      <c r="J8" s="9" t="e">
        <f>Table24283089101314151617181239424344454647484950515253[[#This Row],[Sales Amt]]/Table24283089101314151617181239424344454647484950515253[[#This Row],[Sales Qty]]</f>
        <v>#DIV/0!</v>
      </c>
      <c r="K8" s="9">
        <v>0</v>
      </c>
      <c r="L8" s="9">
        <f>Table24283089101314151617181239424344454647484950515253[[#This Row],[Sales Qty]]*O7</f>
        <v>0</v>
      </c>
      <c r="M8" s="9">
        <f>M7+Table24283089101314151617181239424344454647484950515253[[#This Row],[Total Purchase Amount]]-Table24283089101314151617181239424344454647484950515253[[#This Row],[Principal Cost As per  NFRS (In case of Sales)]]</f>
        <v>39440</v>
      </c>
      <c r="N8" s="9">
        <f>N7+Table24283089101314151617181239424344454647484950515253[[#This Row],[Purchase QTY]]-Table24283089101314151617181239424344454647484950515253[[#This Row],[Sales Qty]]</f>
        <v>3400</v>
      </c>
      <c r="O8" s="42">
        <f>IFERROR(Table24283089101314151617181239424344454647484950515253[[#This Row],[TC AP NFRS]]/Table24283089101314151617181239424344454647484950515253[[#This Row],[Unit Sum]],0)</f>
        <v>11.6</v>
      </c>
      <c r="P8" s="10">
        <f>Table24283089101314151617181239424344454647484950515253[[#This Row],[Sales Amt]]-Table24283089101314151617181239424344454647484950515253[[#This Row],[Principal Cost As per  NFRS (In case of Sales)]]</f>
        <v>0</v>
      </c>
      <c r="R8" s="17">
        <v>0</v>
      </c>
      <c r="S8" s="17">
        <v>0</v>
      </c>
      <c r="T8" s="20">
        <f>R8+S8</f>
        <v>0</v>
      </c>
      <c r="U8" s="20">
        <f>H8+T8</f>
        <v>0</v>
      </c>
      <c r="V8" s="20">
        <v>0</v>
      </c>
      <c r="W8" s="20">
        <v>0</v>
      </c>
      <c r="X8" s="55">
        <f>V8+W8</f>
        <v>0</v>
      </c>
      <c r="Y8" s="20">
        <v>0</v>
      </c>
      <c r="Z8" s="20">
        <f>K8-X8-Y8</f>
        <v>0</v>
      </c>
      <c r="AA8" s="20">
        <f>I8*AC7</f>
        <v>0</v>
      </c>
      <c r="AB8" s="20">
        <f>AB7+U8-AA8</f>
        <v>36811.120000000003</v>
      </c>
      <c r="AC8" s="20">
        <f>IFERROR(AB8/N8,0)</f>
        <v>10.8268</v>
      </c>
      <c r="AD8" s="58">
        <f>Z8-AA8+Y8</f>
        <v>0</v>
      </c>
    </row>
    <row r="9" spans="1:31" hidden="1" x14ac:dyDescent="0.25">
      <c r="A9" s="5">
        <f t="shared" ref="A9:A16" si="0">A8+1</f>
        <v>3</v>
      </c>
      <c r="B9" s="6"/>
      <c r="C9" s="6"/>
      <c r="D9" s="7"/>
      <c r="E9" s="8"/>
      <c r="F9" s="9">
        <v>0</v>
      </c>
      <c r="G9" s="9">
        <f>IF(Table24283089101314151617181239424344454647484950515253[[#This Row],[SPPU]]&gt;=0,0,Table24283089101314151617181239424344454647484950515253[[#This Row],[Total Purchase Amount]]/Table24283089101314151617181239424344454647484950515253[[#This Row],[Purchase QTY]])</f>
        <v>0</v>
      </c>
      <c r="H9" s="9">
        <v>0</v>
      </c>
      <c r="I9" s="9">
        <v>0</v>
      </c>
      <c r="J9" s="9">
        <f>IFERROR(Table24283089101314151617181239424344454647484950515253[[#This Row],[Sales Amt]]/Table24283089101314151617181239424344454647484950515253[[#This Row],[Sales Qty]],0)</f>
        <v>0</v>
      </c>
      <c r="K9" s="9">
        <v>0</v>
      </c>
      <c r="L9" s="9">
        <f>Table24283089101314151617181239424344454647484950515253[[#This Row],[Sales Qty]]*O8</f>
        <v>0</v>
      </c>
      <c r="M9" s="9">
        <f>M8+Table24283089101314151617181239424344454647484950515253[[#This Row],[Total Purchase Amount]]-Table24283089101314151617181239424344454647484950515253[[#This Row],[Principal Cost As per  NFRS (In case of Sales)]]</f>
        <v>39440</v>
      </c>
      <c r="N9" s="9">
        <f>N8+Table24283089101314151617181239424344454647484950515253[[#This Row],[Purchase QTY]]-Table24283089101314151617181239424344454647484950515253[[#This Row],[Sales Qty]]</f>
        <v>3400</v>
      </c>
      <c r="O9" s="42">
        <f>IFERROR(Table24283089101314151617181239424344454647484950515253[[#This Row],[TC AP NFRS]]/Table24283089101314151617181239424344454647484950515253[[#This Row],[Unit Sum]],0)</f>
        <v>11.6</v>
      </c>
      <c r="P9" s="10">
        <f>Table24283089101314151617181239424344454647484950515253[[#This Row],[Sales Amt]]-Table24283089101314151617181239424344454647484950515253[[#This Row],[Principal Cost As per  NFRS (In case of Sales)]]</f>
        <v>0</v>
      </c>
      <c r="R9" s="17">
        <v>0</v>
      </c>
      <c r="S9" s="17">
        <v>0</v>
      </c>
      <c r="T9" s="20">
        <v>0</v>
      </c>
      <c r="U9" s="20">
        <f t="shared" ref="U9:U16" si="1">H9+T9</f>
        <v>0</v>
      </c>
      <c r="V9" s="17">
        <v>0</v>
      </c>
      <c r="W9" s="17">
        <v>0</v>
      </c>
      <c r="X9" s="20">
        <f t="shared" ref="X9:X16" si="2">V9+W9</f>
        <v>0</v>
      </c>
      <c r="Y9" s="20">
        <v>0</v>
      </c>
      <c r="Z9" s="20">
        <f t="shared" ref="Z9:Z16" si="3">K9-X9-Y9</f>
        <v>0</v>
      </c>
      <c r="AA9" s="20">
        <f t="shared" ref="AA9:AA16" si="4">I9*AC8</f>
        <v>0</v>
      </c>
      <c r="AB9" s="20">
        <f t="shared" ref="AB9:AB16" si="5">AB8+U9-AA9</f>
        <v>36811.120000000003</v>
      </c>
      <c r="AC9" s="20">
        <f t="shared" ref="AC9:AC17" si="6">IFERROR(AB9/N9,0)</f>
        <v>10.8268</v>
      </c>
      <c r="AD9" s="58">
        <f t="shared" ref="AD9:AD16" si="7">Z9-AA9+Y9</f>
        <v>0</v>
      </c>
    </row>
    <row r="10" spans="1:31" hidden="1" x14ac:dyDescent="0.25">
      <c r="A10" s="5">
        <f t="shared" si="0"/>
        <v>4</v>
      </c>
      <c r="B10" s="6"/>
      <c r="C10" s="6"/>
      <c r="D10" s="7"/>
      <c r="E10" s="8"/>
      <c r="F10" s="9"/>
      <c r="G10" s="9">
        <f>IF(Table24283089101314151617181239424344454647484950515253[[#This Row],[SPPU]]&gt;=0,0,Table24283089101314151617181239424344454647484950515253[[#This Row],[Total Purchase Amount]]/Table24283089101314151617181239424344454647484950515253[[#This Row],[Purchase QTY]])</f>
        <v>0</v>
      </c>
      <c r="H10" s="9"/>
      <c r="I10" s="9">
        <v>0</v>
      </c>
      <c r="J10" s="9">
        <f>IFERROR(Table24283089101314151617181239424344454647484950515253[[#This Row],[Sales Amt]]/Table24283089101314151617181239424344454647484950515253[[#This Row],[Sales Qty]],0)</f>
        <v>0</v>
      </c>
      <c r="K10" s="9">
        <v>0</v>
      </c>
      <c r="L10" s="9">
        <f>Table24283089101314151617181239424344454647484950515253[[#This Row],[Sales Qty]]*O9</f>
        <v>0</v>
      </c>
      <c r="M10" s="9">
        <f>M9+Table24283089101314151617181239424344454647484950515253[[#This Row],[Total Purchase Amount]]-Table24283089101314151617181239424344454647484950515253[[#This Row],[Principal Cost As per  NFRS (In case of Sales)]]</f>
        <v>39440</v>
      </c>
      <c r="N10" s="9">
        <f>N9+Table24283089101314151617181239424344454647484950515253[[#This Row],[Purchase QTY]]-Table24283089101314151617181239424344454647484950515253[[#This Row],[Sales Qty]]</f>
        <v>3400</v>
      </c>
      <c r="O10" s="42">
        <f>IFERROR(Table24283089101314151617181239424344454647484950515253[[#This Row],[TC AP NFRS]]/Table24283089101314151617181239424344454647484950515253[[#This Row],[Unit Sum]],0)</f>
        <v>11.6</v>
      </c>
      <c r="P10" s="10">
        <f>Table24283089101314151617181239424344454647484950515253[[#This Row],[Sales Amt]]-Table24283089101314151617181239424344454647484950515253[[#This Row],[Principal Cost As per  NFRS (In case of Sales)]]</f>
        <v>0</v>
      </c>
      <c r="R10" s="17">
        <v>0</v>
      </c>
      <c r="S10" s="17"/>
      <c r="T10" s="20">
        <f t="shared" ref="T10:T16" si="8">R10+S10</f>
        <v>0</v>
      </c>
      <c r="U10" s="20">
        <f t="shared" si="1"/>
        <v>0</v>
      </c>
      <c r="V10" s="20">
        <v>0</v>
      </c>
      <c r="W10" s="20">
        <v>0</v>
      </c>
      <c r="X10" s="55">
        <f t="shared" si="2"/>
        <v>0</v>
      </c>
      <c r="Y10" s="20">
        <v>0</v>
      </c>
      <c r="Z10" s="20">
        <f t="shared" si="3"/>
        <v>0</v>
      </c>
      <c r="AA10" s="20">
        <f t="shared" si="4"/>
        <v>0</v>
      </c>
      <c r="AB10" s="20">
        <f t="shared" si="5"/>
        <v>36811.120000000003</v>
      </c>
      <c r="AC10" s="20">
        <f t="shared" si="6"/>
        <v>10.8268</v>
      </c>
      <c r="AD10" s="58">
        <f t="shared" si="7"/>
        <v>0</v>
      </c>
    </row>
    <row r="11" spans="1:31" hidden="1" x14ac:dyDescent="0.25">
      <c r="A11" s="5">
        <f t="shared" si="0"/>
        <v>5</v>
      </c>
      <c r="B11" s="6"/>
      <c r="C11" s="6"/>
      <c r="D11" s="7"/>
      <c r="E11" s="8"/>
      <c r="F11" s="9"/>
      <c r="G11" s="9" t="e">
        <f>IF(Table24283089101314151617181239424344454647484950515253[[#This Row],[SPPU]]&gt;=0,0,Table24283089101314151617181239424344454647484950515253[[#This Row],[Total Purchase Amount]]/Table24283089101314151617181239424344454647484950515253[[#This Row],[Purchase QTY]])</f>
        <v>#DIV/0!</v>
      </c>
      <c r="H11" s="9"/>
      <c r="I11" s="9">
        <v>0</v>
      </c>
      <c r="J11" s="9" t="e">
        <f>Table24283089101314151617181239424344454647484950515253[[#This Row],[Sales Amt]]/Table24283089101314151617181239424344454647484950515253[[#This Row],[Sales Qty]]</f>
        <v>#DIV/0!</v>
      </c>
      <c r="K11" s="9">
        <v>0</v>
      </c>
      <c r="L11" s="9">
        <f>Table24283089101314151617181239424344454647484950515253[[#This Row],[Sales Qty]]*O10</f>
        <v>0</v>
      </c>
      <c r="M11" s="9">
        <f>M10+Table24283089101314151617181239424344454647484950515253[[#This Row],[Total Purchase Amount]]-Table24283089101314151617181239424344454647484950515253[[#This Row],[Principal Cost As per  NFRS (In case of Sales)]]</f>
        <v>39440</v>
      </c>
      <c r="N11" s="9">
        <f>N10+Table24283089101314151617181239424344454647484950515253[[#This Row],[Purchase QTY]]-Table24283089101314151617181239424344454647484950515253[[#This Row],[Sales Qty]]</f>
        <v>3400</v>
      </c>
      <c r="O11" s="42">
        <f>IFERROR(Table24283089101314151617181239424344454647484950515253[[#This Row],[TC AP NFRS]]/Table24283089101314151617181239424344454647484950515253[[#This Row],[Unit Sum]],0)</f>
        <v>11.6</v>
      </c>
      <c r="P11" s="10">
        <f>Table24283089101314151617181239424344454647484950515253[[#This Row],[Sales Amt]]-Table24283089101314151617181239424344454647484950515253[[#This Row],[Principal Cost As per  NFRS (In case of Sales)]]</f>
        <v>0</v>
      </c>
      <c r="R11" s="17">
        <v>0</v>
      </c>
      <c r="S11" s="17"/>
      <c r="T11" s="20">
        <f t="shared" si="8"/>
        <v>0</v>
      </c>
      <c r="U11" s="20">
        <f t="shared" si="1"/>
        <v>0</v>
      </c>
      <c r="V11" s="20">
        <v>0</v>
      </c>
      <c r="W11" s="20">
        <v>0</v>
      </c>
      <c r="X11" s="55">
        <f t="shared" si="2"/>
        <v>0</v>
      </c>
      <c r="Y11" s="20">
        <v>0</v>
      </c>
      <c r="Z11" s="20">
        <f t="shared" si="3"/>
        <v>0</v>
      </c>
      <c r="AA11" s="20">
        <f t="shared" si="4"/>
        <v>0</v>
      </c>
      <c r="AB11" s="20">
        <f t="shared" si="5"/>
        <v>36811.120000000003</v>
      </c>
      <c r="AC11" s="20">
        <f t="shared" si="6"/>
        <v>10.8268</v>
      </c>
      <c r="AD11" s="58">
        <f t="shared" si="7"/>
        <v>0</v>
      </c>
    </row>
    <row r="12" spans="1:31" hidden="1" x14ac:dyDescent="0.25">
      <c r="A12" s="5">
        <f t="shared" si="0"/>
        <v>6</v>
      </c>
      <c r="B12" s="6"/>
      <c r="C12" s="6"/>
      <c r="D12" s="7"/>
      <c r="E12" s="8"/>
      <c r="F12" s="9">
        <v>0</v>
      </c>
      <c r="G12" s="9" t="e">
        <f>Table24283089101314151617181239424344454647484950515253[[#This Row],[Total Purchase Amount]]/Table24283089101314151617181239424344454647484950515253[[#This Row],[Purchase QTY]]</f>
        <v>#DIV/0!</v>
      </c>
      <c r="H12" s="9">
        <v>0</v>
      </c>
      <c r="I12" s="9">
        <v>0</v>
      </c>
      <c r="J12" s="9">
        <f ca="1">IFERROR(Table24283089101314151617181239424344454647484950515253[[#This Row],[Sales Amt]]/Table24283089101314151617181239424344454647484950515253[[#This Row],[Sales Qty]],0)</f>
        <v>0</v>
      </c>
      <c r="K12" s="9">
        <f ca="1">Table24283089101314151617181239424344454647484950515253[[#This Row],[Sales Qty]]*Table24283089101314151617181239424344454647484950515253[[#This Row],[SPPU]]</f>
        <v>0</v>
      </c>
      <c r="L12" s="9">
        <f>Table24283089101314151617181239424344454647484950515253[[#This Row],[Sales Qty]]*O11</f>
        <v>0</v>
      </c>
      <c r="M12" s="9">
        <f>M11+Table24283089101314151617181239424344454647484950515253[[#This Row],[Total Purchase Amount]]-Table24283089101314151617181239424344454647484950515253[[#This Row],[Principal Cost As per  NFRS (In case of Sales)]]</f>
        <v>39440</v>
      </c>
      <c r="N12" s="9">
        <f>N11+Table24283089101314151617181239424344454647484950515253[[#This Row],[Purchase QTY]]-Table24283089101314151617181239424344454647484950515253[[#This Row],[Sales Qty]]</f>
        <v>3400</v>
      </c>
      <c r="O12" s="42">
        <f>IFERROR(Table24283089101314151617181239424344454647484950515253[[#This Row],[TC AP NFRS]]/Table24283089101314151617181239424344454647484950515253[[#This Row],[Unit Sum]],0)</f>
        <v>11.6</v>
      </c>
      <c r="P12" s="10">
        <f ca="1">Table24283089101314151617181239424344454647484950515253[[#This Row],[Sales Amt]]-Table24283089101314151617181239424344454647484950515253[[#This Row],[Principal Cost As per  NFRS (In case of Sales)]]</f>
        <v>0</v>
      </c>
      <c r="R12" s="17">
        <v>0</v>
      </c>
      <c r="S12" s="17"/>
      <c r="T12" s="20">
        <f t="shared" si="8"/>
        <v>0</v>
      </c>
      <c r="U12" s="20">
        <f t="shared" si="1"/>
        <v>0</v>
      </c>
      <c r="V12" s="20">
        <v>0</v>
      </c>
      <c r="W12" s="20">
        <v>0</v>
      </c>
      <c r="X12" s="55">
        <f t="shared" si="2"/>
        <v>0</v>
      </c>
      <c r="Y12" s="20">
        <v>0</v>
      </c>
      <c r="Z12" s="20">
        <f t="shared" ca="1" si="3"/>
        <v>0</v>
      </c>
      <c r="AA12" s="20">
        <f t="shared" si="4"/>
        <v>0</v>
      </c>
      <c r="AB12" s="20">
        <f t="shared" si="5"/>
        <v>36811.120000000003</v>
      </c>
      <c r="AC12" s="20">
        <f t="shared" si="6"/>
        <v>10.8268</v>
      </c>
      <c r="AD12" s="58">
        <f t="shared" ca="1" si="7"/>
        <v>0</v>
      </c>
    </row>
    <row r="13" spans="1:31" hidden="1" x14ac:dyDescent="0.25">
      <c r="A13" s="5">
        <f t="shared" si="0"/>
        <v>7</v>
      </c>
      <c r="B13" s="6"/>
      <c r="C13" s="6"/>
      <c r="D13" s="7"/>
      <c r="E13" s="8"/>
      <c r="F13" s="9">
        <v>0</v>
      </c>
      <c r="G13" s="9" t="e">
        <f>Table24283089101314151617181239424344454647484950515253[[#This Row],[Total Purchase Amount]]/Table24283089101314151617181239424344454647484950515253[[#This Row],[Purchase QTY]]</f>
        <v>#DIV/0!</v>
      </c>
      <c r="H13" s="9">
        <v>0</v>
      </c>
      <c r="I13" s="9">
        <v>0</v>
      </c>
      <c r="J13" s="9">
        <f ca="1">IFERROR(Table24283089101314151617181239424344454647484950515253[[#This Row],[Sales Amt]]/Table24283089101314151617181239424344454647484950515253[[#This Row],[Sales Qty]],0)</f>
        <v>0</v>
      </c>
      <c r="K13" s="9">
        <f ca="1">Table24283089101314151617181239424344454647484950515253[[#This Row],[Sales Qty]]*Table24283089101314151617181239424344454647484950515253[[#This Row],[SPPU]]</f>
        <v>0</v>
      </c>
      <c r="L13" s="9">
        <f>Table24283089101314151617181239424344454647484950515253[[#This Row],[Sales Qty]]*O12</f>
        <v>0</v>
      </c>
      <c r="M13" s="9">
        <f>M12+Table24283089101314151617181239424344454647484950515253[[#This Row],[Total Purchase Amount]]-Table24283089101314151617181239424344454647484950515253[[#This Row],[Principal Cost As per  NFRS (In case of Sales)]]</f>
        <v>39440</v>
      </c>
      <c r="N13" s="9">
        <f>N12+Table24283089101314151617181239424344454647484950515253[[#This Row],[Purchase QTY]]-Table24283089101314151617181239424344454647484950515253[[#This Row],[Sales Qty]]</f>
        <v>3400</v>
      </c>
      <c r="O13" s="42">
        <f>IFERROR(Table24283089101314151617181239424344454647484950515253[[#This Row],[TC AP NFRS]]/Table24283089101314151617181239424344454647484950515253[[#This Row],[Unit Sum]],0)</f>
        <v>11.6</v>
      </c>
      <c r="P13" s="10">
        <f ca="1">Table24283089101314151617181239424344454647484950515253[[#This Row],[Sales Amt]]-Table24283089101314151617181239424344454647484950515253[[#This Row],[Principal Cost As per  NFRS (In case of Sales)]]</f>
        <v>0</v>
      </c>
      <c r="R13" s="17">
        <v>0</v>
      </c>
      <c r="S13" s="17"/>
      <c r="T13" s="20">
        <f t="shared" si="8"/>
        <v>0</v>
      </c>
      <c r="U13" s="20">
        <f t="shared" si="1"/>
        <v>0</v>
      </c>
      <c r="V13" s="20">
        <v>0</v>
      </c>
      <c r="W13" s="20">
        <v>0</v>
      </c>
      <c r="X13" s="55">
        <f t="shared" si="2"/>
        <v>0</v>
      </c>
      <c r="Y13" s="20">
        <v>0</v>
      </c>
      <c r="Z13" s="20">
        <f t="shared" ca="1" si="3"/>
        <v>0</v>
      </c>
      <c r="AA13" s="20">
        <f t="shared" si="4"/>
        <v>0</v>
      </c>
      <c r="AB13" s="20">
        <f t="shared" si="5"/>
        <v>36811.120000000003</v>
      </c>
      <c r="AC13" s="20">
        <f t="shared" si="6"/>
        <v>10.8268</v>
      </c>
      <c r="AD13" s="58">
        <f t="shared" ca="1" si="7"/>
        <v>0</v>
      </c>
    </row>
    <row r="14" spans="1:31" hidden="1" x14ac:dyDescent="0.25">
      <c r="A14" s="5">
        <f t="shared" si="0"/>
        <v>8</v>
      </c>
      <c r="B14" s="6"/>
      <c r="C14" s="6"/>
      <c r="D14" s="7"/>
      <c r="E14" s="8"/>
      <c r="F14" s="9"/>
      <c r="G14" s="9">
        <f>IF(Table24283089101314151617181239424344454647484950515253[[#This Row],[SPPU]]&gt;=0,0,Table24283089101314151617181239424344454647484950515253[[#This Row],[Total Purchase Amount]]/Table24283089101314151617181239424344454647484950515253[[#This Row],[Purchase QTY]])</f>
        <v>0</v>
      </c>
      <c r="H14" s="9"/>
      <c r="I14" s="9">
        <v>0</v>
      </c>
      <c r="J14" s="9">
        <f>IFERROR(Table24283089101314151617181239424344454647484950515253[[#This Row],[Sales Amt]]/Table24283089101314151617181239424344454647484950515253[[#This Row],[Sales Qty]],0)</f>
        <v>0</v>
      </c>
      <c r="K14" s="9">
        <v>0</v>
      </c>
      <c r="L14" s="9">
        <f>Table24283089101314151617181239424344454647484950515253[[#This Row],[Sales Qty]]*O12</f>
        <v>0</v>
      </c>
      <c r="M14" s="9">
        <f>M13+Table24283089101314151617181239424344454647484950515253[[#This Row],[Total Purchase Amount]]-Table24283089101314151617181239424344454647484950515253[[#This Row],[Principal Cost As per  NFRS (In case of Sales)]]</f>
        <v>39440</v>
      </c>
      <c r="N14" s="9">
        <f>N13+Table24283089101314151617181239424344454647484950515253[[#This Row],[Purchase QTY]]-Table24283089101314151617181239424344454647484950515253[[#This Row],[Sales Qty]]</f>
        <v>3400</v>
      </c>
      <c r="O14" s="42">
        <f>IFERROR(Table24283089101314151617181239424344454647484950515253[[#This Row],[TC AP NFRS]]/Table24283089101314151617181239424344454647484950515253[[#This Row],[Unit Sum]],0)</f>
        <v>11.6</v>
      </c>
      <c r="P14" s="10">
        <f>Table24283089101314151617181239424344454647484950515253[[#This Row],[Sales Amt]]-Table24283089101314151617181239424344454647484950515253[[#This Row],[Principal Cost As per  NFRS (In case of Sales)]]</f>
        <v>0</v>
      </c>
      <c r="R14" s="17">
        <v>0</v>
      </c>
      <c r="S14" s="17"/>
      <c r="T14" s="20">
        <f t="shared" si="8"/>
        <v>0</v>
      </c>
      <c r="U14" s="20">
        <f t="shared" si="1"/>
        <v>0</v>
      </c>
      <c r="V14" s="20">
        <v>0</v>
      </c>
      <c r="W14" s="20">
        <v>0</v>
      </c>
      <c r="X14" s="55">
        <f t="shared" si="2"/>
        <v>0</v>
      </c>
      <c r="Y14" s="20">
        <v>0</v>
      </c>
      <c r="Z14" s="20">
        <f t="shared" si="3"/>
        <v>0</v>
      </c>
      <c r="AA14" s="20">
        <f t="shared" si="4"/>
        <v>0</v>
      </c>
      <c r="AB14" s="20">
        <f t="shared" si="5"/>
        <v>36811.120000000003</v>
      </c>
      <c r="AC14" s="20">
        <f t="shared" si="6"/>
        <v>10.8268</v>
      </c>
      <c r="AD14" s="58">
        <f t="shared" si="7"/>
        <v>0</v>
      </c>
    </row>
    <row r="15" spans="1:31" hidden="1" x14ac:dyDescent="0.25">
      <c r="A15" s="5">
        <f t="shared" si="0"/>
        <v>9</v>
      </c>
      <c r="B15" s="6"/>
      <c r="C15" s="6"/>
      <c r="D15" s="7"/>
      <c r="E15" s="8"/>
      <c r="F15" s="9"/>
      <c r="G15" s="9">
        <f>IF(Table24283089101314151617181239424344454647484950515253[[#This Row],[SPPU]]&gt;=0,0,Table24283089101314151617181239424344454647484950515253[[#This Row],[Total Purchase Amount]]/Table24283089101314151617181239424344454647484950515253[[#This Row],[Purchase QTY]])</f>
        <v>0</v>
      </c>
      <c r="H15" s="9"/>
      <c r="I15" s="9">
        <v>0</v>
      </c>
      <c r="J15" s="9">
        <v>0</v>
      </c>
      <c r="K15" s="9">
        <v>0</v>
      </c>
      <c r="L15" s="9">
        <f>Table24283089101314151617181239424344454647484950515253[[#This Row],[Sales Qty]]*O14</f>
        <v>0</v>
      </c>
      <c r="M15" s="9">
        <f>M14+Table24283089101314151617181239424344454647484950515253[[#This Row],[Total Purchase Amount]]-Table24283089101314151617181239424344454647484950515253[[#This Row],[Principal Cost As per  NFRS (In case of Sales)]]</f>
        <v>39440</v>
      </c>
      <c r="N15" s="9">
        <f>N14+Table24283089101314151617181239424344454647484950515253[[#This Row],[Purchase QTY]]-Table24283089101314151617181239424344454647484950515253[[#This Row],[Sales Qty]]</f>
        <v>3400</v>
      </c>
      <c r="O15" s="42">
        <f>IFERROR(Table24283089101314151617181239424344454647484950515253[[#This Row],[TC AP NFRS]]/Table24283089101314151617181239424344454647484950515253[[#This Row],[Unit Sum]],0)</f>
        <v>11.6</v>
      </c>
      <c r="P15" s="10">
        <f>Table24283089101314151617181239424344454647484950515253[[#This Row],[Sales Amt]]-Table24283089101314151617181239424344454647484950515253[[#This Row],[Principal Cost As per  NFRS (In case of Sales)]]</f>
        <v>0</v>
      </c>
      <c r="R15" s="17">
        <v>0</v>
      </c>
      <c r="S15" s="17"/>
      <c r="T15" s="20">
        <f t="shared" si="8"/>
        <v>0</v>
      </c>
      <c r="U15" s="20">
        <f t="shared" si="1"/>
        <v>0</v>
      </c>
      <c r="V15" s="20">
        <v>0</v>
      </c>
      <c r="W15" s="20">
        <v>0</v>
      </c>
      <c r="X15" s="55">
        <f t="shared" si="2"/>
        <v>0</v>
      </c>
      <c r="Y15" s="20">
        <v>0</v>
      </c>
      <c r="Z15" s="20">
        <f t="shared" si="3"/>
        <v>0</v>
      </c>
      <c r="AA15" s="20">
        <f t="shared" si="4"/>
        <v>0</v>
      </c>
      <c r="AB15" s="20">
        <f t="shared" si="5"/>
        <v>36811.120000000003</v>
      </c>
      <c r="AC15" s="20">
        <f t="shared" si="6"/>
        <v>10.8268</v>
      </c>
      <c r="AD15" s="58">
        <f t="shared" si="7"/>
        <v>0</v>
      </c>
    </row>
    <row r="16" spans="1:31" hidden="1" x14ac:dyDescent="0.25">
      <c r="A16" s="5">
        <f t="shared" si="0"/>
        <v>10</v>
      </c>
      <c r="B16" s="6"/>
      <c r="C16" s="6"/>
      <c r="D16" s="7"/>
      <c r="E16" s="8"/>
      <c r="F16" s="9"/>
      <c r="G16" s="9" t="e">
        <f>IF(Table24283089101314151617181239424344454647484950515253[[#This Row],[SPPU]]&gt;=0,0,Table24283089101314151617181239424344454647484950515253[[#This Row],[Total Purchase Amount]]/Table24283089101314151617181239424344454647484950515253[[#This Row],[Purchase QTY]])</f>
        <v>#DIV/0!</v>
      </c>
      <c r="H16" s="9"/>
      <c r="I16" s="9">
        <v>0</v>
      </c>
      <c r="J16" s="9" t="e">
        <f>Table24283089101314151617181239424344454647484950515253[[#This Row],[Sales Amt]]/Table24283089101314151617181239424344454647484950515253[[#This Row],[Sales Qty]]</f>
        <v>#DIV/0!</v>
      </c>
      <c r="K16" s="9">
        <v>0</v>
      </c>
      <c r="L16" s="9">
        <f>Table24283089101314151617181239424344454647484950515253[[#This Row],[Sales Qty]]*O15</f>
        <v>0</v>
      </c>
      <c r="M16" s="9">
        <f>M15+Table24283089101314151617181239424344454647484950515253[[#This Row],[Total Purchase Amount]]-Table24283089101314151617181239424344454647484950515253[[#This Row],[Principal Cost As per  NFRS (In case of Sales)]]</f>
        <v>39440</v>
      </c>
      <c r="N16" s="9">
        <f>N15+Table24283089101314151617181239424344454647484950515253[[#This Row],[Purchase QTY]]-Table24283089101314151617181239424344454647484950515253[[#This Row],[Sales Qty]]</f>
        <v>3400</v>
      </c>
      <c r="O16" s="42">
        <f>IFERROR(Table24283089101314151617181239424344454647484950515253[[#This Row],[TC AP NFRS]]/Table24283089101314151617181239424344454647484950515253[[#This Row],[Unit Sum]],0)</f>
        <v>11.6</v>
      </c>
      <c r="P16" s="10">
        <f>Table24283089101314151617181239424344454647484950515253[[#This Row],[Sales Amt]]-Table24283089101314151617181239424344454647484950515253[[#This Row],[Principal Cost As per  NFRS (In case of Sales)]]</f>
        <v>0</v>
      </c>
      <c r="R16" s="17">
        <v>0</v>
      </c>
      <c r="S16" s="17"/>
      <c r="T16" s="20">
        <f t="shared" si="8"/>
        <v>0</v>
      </c>
      <c r="U16" s="20">
        <f t="shared" si="1"/>
        <v>0</v>
      </c>
      <c r="V16" s="20">
        <v>0</v>
      </c>
      <c r="W16" s="20">
        <v>0</v>
      </c>
      <c r="X16" s="55">
        <f t="shared" si="2"/>
        <v>0</v>
      </c>
      <c r="Y16" s="20">
        <v>0</v>
      </c>
      <c r="Z16" s="20">
        <f t="shared" si="3"/>
        <v>0</v>
      </c>
      <c r="AA16" s="20">
        <f t="shared" si="4"/>
        <v>0</v>
      </c>
      <c r="AB16" s="20">
        <f t="shared" si="5"/>
        <v>36811.120000000003</v>
      </c>
      <c r="AC16" s="20">
        <f t="shared" si="6"/>
        <v>10.8268</v>
      </c>
      <c r="AD16" s="58">
        <f t="shared" si="7"/>
        <v>0</v>
      </c>
    </row>
    <row r="17" spans="1:30" ht="15.75" x14ac:dyDescent="0.25">
      <c r="A17" s="11" t="s">
        <v>22</v>
      </c>
      <c r="B17" s="12"/>
      <c r="C17" s="12"/>
      <c r="D17" s="13"/>
      <c r="E17" s="14"/>
      <c r="F17" s="15">
        <f ca="1">SUM(INDIRECT("f4:f"&amp;ROW()-1))</f>
        <v>3400</v>
      </c>
      <c r="G17" s="15"/>
      <c r="H17" s="15">
        <f ca="1">SUM(INDIRECT("h4:h"&amp;ROW()-1))</f>
        <v>39440</v>
      </c>
      <c r="I17" s="15">
        <f ca="1">SUM(INDIRECT("i4:i"&amp;ROW()-1))</f>
        <v>0</v>
      </c>
      <c r="J17" s="15" t="e">
        <f ca="1">Table24283089101314151617181239424344454647484950515253[[#This Row],[Sales Amt]]/Table24283089101314151617181239424344454647484950515253[[#This Row],[Sales Qty]]</f>
        <v>#DIV/0!</v>
      </c>
      <c r="K17" s="15">
        <f>SUBTOTAL(109,K7:K16)</f>
        <v>0</v>
      </c>
      <c r="L17" s="15">
        <f>SUBTOTAL(109,L7:L16)</f>
        <v>0</v>
      </c>
      <c r="M17" s="15">
        <f ca="1">Table24283089101314151617181239424344454647484950515253[[#This Row],[Total Purchase Amount]]-Table24283089101314151617181239424344454647484950515253[[#This Row],[Principal Cost As per  NFRS (In case of Sales)]]</f>
        <v>39440</v>
      </c>
      <c r="N17" s="15">
        <f ca="1">Table24283089101314151617181239424344454647484950515253[[#This Row],[Purchase QTY]]-Table24283089101314151617181239424344454647484950515253[[#This Row],[Sales Qty]]</f>
        <v>3400</v>
      </c>
      <c r="O17" s="43">
        <f ca="1">IFERROR(Table24283089101314151617181239424344454647484950515253[[#This Row],[TC AP NFRS]]/Table24283089101314151617181239424344454647484950515253[[#This Row],[Unit Sum]],0)</f>
        <v>11.6</v>
      </c>
      <c r="P17" s="15">
        <f ca="1">SUM(INDIRECT("p4:p"&amp;ROW()-1))</f>
        <v>0</v>
      </c>
      <c r="R17" s="24">
        <f>SUM(R7:R16)</f>
        <v>0</v>
      </c>
      <c r="S17" s="24">
        <f t="shared" ref="S17:AA17" si="9">SUM(S7:S16)</f>
        <v>0</v>
      </c>
      <c r="T17" s="24">
        <f>SUM(T7:T16)</f>
        <v>0</v>
      </c>
      <c r="U17" s="24">
        <f>SUM(U7:U16)</f>
        <v>36811.120000000003</v>
      </c>
      <c r="V17" s="24">
        <f>SUM(V7:V16)</f>
        <v>0</v>
      </c>
      <c r="W17" s="24">
        <f t="shared" si="9"/>
        <v>0</v>
      </c>
      <c r="X17" s="24">
        <f t="shared" si="9"/>
        <v>0</v>
      </c>
      <c r="Y17" s="24">
        <f t="shared" si="9"/>
        <v>0</v>
      </c>
      <c r="Z17" s="24">
        <f ca="1">SUM(Z7:Z16)</f>
        <v>0</v>
      </c>
      <c r="AA17" s="24">
        <f t="shared" si="9"/>
        <v>0</v>
      </c>
      <c r="AB17" s="24">
        <f>U17-AA17</f>
        <v>36811.120000000003</v>
      </c>
      <c r="AC17" s="24">
        <f t="shared" ca="1" si="6"/>
        <v>10.8268</v>
      </c>
      <c r="AD17" s="24">
        <f ca="1">SUM(AD7:AD16)</f>
        <v>0</v>
      </c>
    </row>
    <row r="19" spans="1:30" x14ac:dyDescent="0.25">
      <c r="A19" t="s">
        <v>882</v>
      </c>
      <c r="R19" s="120" t="s">
        <v>20</v>
      </c>
      <c r="S19" s="121"/>
      <c r="T19" s="121"/>
      <c r="U19" s="50"/>
      <c r="V19" s="120" t="s">
        <v>67</v>
      </c>
      <c r="W19" s="121"/>
      <c r="X19" s="121"/>
      <c r="Y19" s="123" t="s">
        <v>13</v>
      </c>
      <c r="Z19" s="124" t="s">
        <v>10</v>
      </c>
      <c r="AA19" s="125" t="s">
        <v>66</v>
      </c>
      <c r="AB19" s="123" t="s">
        <v>15</v>
      </c>
      <c r="AC19" s="123" t="s">
        <v>18</v>
      </c>
      <c r="AD19" s="123" t="s">
        <v>12</v>
      </c>
    </row>
    <row r="20" spans="1:30" ht="75" x14ac:dyDescent="0.25">
      <c r="A20" s="1" t="s">
        <v>57</v>
      </c>
      <c r="B20" s="2" t="s">
        <v>0</v>
      </c>
      <c r="C20" s="2" t="s">
        <v>53</v>
      </c>
      <c r="D20" s="2" t="s">
        <v>1</v>
      </c>
      <c r="E20" s="2" t="s">
        <v>2</v>
      </c>
      <c r="F20" s="2" t="s">
        <v>3</v>
      </c>
      <c r="G20" s="2" t="s">
        <v>4</v>
      </c>
      <c r="H20" s="2" t="s">
        <v>51</v>
      </c>
      <c r="I20" s="2" t="s">
        <v>6</v>
      </c>
      <c r="J20" s="16" t="s">
        <v>7</v>
      </c>
      <c r="K20" s="16" t="s">
        <v>8</v>
      </c>
      <c r="L20" s="2" t="s">
        <v>50</v>
      </c>
      <c r="M20" s="2" t="s">
        <v>14</v>
      </c>
      <c r="N20" s="2" t="s">
        <v>16</v>
      </c>
      <c r="O20" s="4" t="s">
        <v>17</v>
      </c>
      <c r="P20" s="3" t="s">
        <v>11</v>
      </c>
      <c r="R20" s="2" t="s">
        <v>65</v>
      </c>
      <c r="S20" s="2" t="s">
        <v>62</v>
      </c>
      <c r="T20" s="2" t="s">
        <v>5</v>
      </c>
      <c r="U20" s="2" t="s">
        <v>164</v>
      </c>
      <c r="V20" s="16" t="s">
        <v>64</v>
      </c>
      <c r="W20" s="16" t="s">
        <v>62</v>
      </c>
      <c r="X20" s="45" t="s">
        <v>9</v>
      </c>
      <c r="Y20" s="123"/>
      <c r="Z20" s="124"/>
      <c r="AA20" s="125"/>
      <c r="AB20" s="123"/>
      <c r="AC20" s="123"/>
      <c r="AD20" s="123"/>
    </row>
    <row r="21" spans="1:30" x14ac:dyDescent="0.25">
      <c r="A21" s="96">
        <v>1</v>
      </c>
      <c r="B21" s="97" t="s">
        <v>856</v>
      </c>
      <c r="C21" s="97"/>
      <c r="D21" s="98">
        <v>45886</v>
      </c>
      <c r="E21" s="99" t="s">
        <v>19</v>
      </c>
      <c r="F21" s="59">
        <v>3400</v>
      </c>
      <c r="G21" s="59"/>
      <c r="H21" s="59">
        <v>39440</v>
      </c>
      <c r="I21" s="59"/>
      <c r="J21" s="59"/>
      <c r="K21" s="59"/>
      <c r="L21" s="59"/>
      <c r="M21" s="59">
        <v>39440</v>
      </c>
      <c r="N21" s="59">
        <v>3400</v>
      </c>
      <c r="O21" s="59">
        <v>11.6</v>
      </c>
      <c r="P21" s="59"/>
      <c r="Q21" s="59"/>
      <c r="R21" s="59"/>
      <c r="S21" s="59"/>
      <c r="T21" s="59"/>
      <c r="U21" s="59">
        <v>36811.120000000003</v>
      </c>
      <c r="V21" s="59"/>
      <c r="W21" s="59"/>
      <c r="X21" s="59"/>
      <c r="Y21" s="59"/>
      <c r="Z21" s="59"/>
      <c r="AA21" s="59"/>
      <c r="AB21" s="59">
        <v>36811.120000000003</v>
      </c>
      <c r="AC21" s="59">
        <v>10.8268</v>
      </c>
      <c r="AD21" s="59"/>
    </row>
  </sheetData>
  <mergeCells count="16">
    <mergeCell ref="AB19:AB20"/>
    <mergeCell ref="AC19:AC20"/>
    <mergeCell ref="AD19:AD20"/>
    <mergeCell ref="R19:T19"/>
    <mergeCell ref="V19:X19"/>
    <mergeCell ref="Y19:Y20"/>
    <mergeCell ref="Z19:Z20"/>
    <mergeCell ref="AA19:AA20"/>
    <mergeCell ref="AC5:AC6"/>
    <mergeCell ref="AD5:AD6"/>
    <mergeCell ref="R5:T5"/>
    <mergeCell ref="V5:X5"/>
    <mergeCell ref="Y5:Y6"/>
    <mergeCell ref="Z5:Z6"/>
    <mergeCell ref="AA5:AA6"/>
    <mergeCell ref="AB5:AB6"/>
  </mergeCells>
  <pageMargins left="0.2" right="0.2" top="0.74803149606299213" bottom="0.74803149606299213" header="0.31496062992125984" footer="0.31496062992125984"/>
  <pageSetup paperSize="9" scale="5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0D2068-6EAB-4FF6-BAA9-C097D4325282}">
          <x14:formula1>
            <xm:f>VALIDATION!$A$2:$A$7</xm:f>
          </x14:formula1>
          <xm:sqref>E7:E16 E21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66</vt:i4>
      </vt:variant>
      <vt:variant>
        <vt:lpstr>Named Ranges</vt:lpstr>
      </vt:variant>
      <vt:variant>
        <vt:i4>35</vt:i4>
      </vt:variant>
    </vt:vector>
  </HeadingPairs>
  <TitlesOfParts>
    <vt:vector size="101" baseType="lpstr">
      <vt:lpstr>LISTED COMPANIES</vt:lpstr>
      <vt:lpstr>VALIDATION</vt:lpstr>
      <vt:lpstr>Monthly Summary</vt:lpstr>
      <vt:lpstr>SGIC</vt:lpstr>
      <vt:lpstr>SHL</vt:lpstr>
      <vt:lpstr>MNBBL</vt:lpstr>
      <vt:lpstr>KSBBL</vt:lpstr>
      <vt:lpstr>IGI</vt:lpstr>
      <vt:lpstr>SRLI</vt:lpstr>
      <vt:lpstr>SALICO</vt:lpstr>
      <vt:lpstr>KPCL</vt:lpstr>
      <vt:lpstr>SHLB</vt:lpstr>
      <vt:lpstr>SIBBL</vt:lpstr>
      <vt:lpstr>VLUCL</vt:lpstr>
      <vt:lpstr>UPCL</vt:lpstr>
      <vt:lpstr>USLB</vt:lpstr>
      <vt:lpstr>NHDL</vt:lpstr>
      <vt:lpstr>GILB</vt:lpstr>
      <vt:lpstr>NMFBS</vt:lpstr>
      <vt:lpstr>SMPDA</vt:lpstr>
      <vt:lpstr>SHPC</vt:lpstr>
      <vt:lpstr>SPIL</vt:lpstr>
      <vt:lpstr>TAMOR</vt:lpstr>
      <vt:lpstr>SNLI</vt:lpstr>
      <vt:lpstr>MANDU</vt:lpstr>
      <vt:lpstr>KMCDB</vt:lpstr>
      <vt:lpstr>HEI</vt:lpstr>
      <vt:lpstr>CHDC</vt:lpstr>
      <vt:lpstr>TRH</vt:lpstr>
      <vt:lpstr>RSDC</vt:lpstr>
      <vt:lpstr>ILI</vt:lpstr>
      <vt:lpstr>UAIL</vt:lpstr>
      <vt:lpstr>HATHY</vt:lpstr>
      <vt:lpstr>FMDBL</vt:lpstr>
      <vt:lpstr>HIDCL</vt:lpstr>
      <vt:lpstr>MSLB</vt:lpstr>
      <vt:lpstr>HLI</vt:lpstr>
      <vt:lpstr>HRL</vt:lpstr>
      <vt:lpstr>SMHL</vt:lpstr>
      <vt:lpstr>SBI</vt:lpstr>
      <vt:lpstr>CLI</vt:lpstr>
      <vt:lpstr>ICFC</vt:lpstr>
      <vt:lpstr>LICN</vt:lpstr>
      <vt:lpstr>LBBL</vt:lpstr>
      <vt:lpstr>SJCL</vt:lpstr>
      <vt:lpstr>AHPC</vt:lpstr>
      <vt:lpstr>TVCL</vt:lpstr>
      <vt:lpstr>MFIL</vt:lpstr>
      <vt:lpstr>NLG</vt:lpstr>
      <vt:lpstr>NICL</vt:lpstr>
      <vt:lpstr>SMJC</vt:lpstr>
      <vt:lpstr>NMLBBL</vt:lpstr>
      <vt:lpstr>DDBL</vt:lpstr>
      <vt:lpstr>SCB</vt:lpstr>
      <vt:lpstr>GWFD83</vt:lpstr>
      <vt:lpstr>CCBD88</vt:lpstr>
      <vt:lpstr>CBLD88</vt:lpstr>
      <vt:lpstr>PBD88</vt:lpstr>
      <vt:lpstr>GBILD86_87</vt:lpstr>
      <vt:lpstr>NMBD87_88</vt:lpstr>
      <vt:lpstr>SBLD84</vt:lpstr>
      <vt:lpstr>NIBD84</vt:lpstr>
      <vt:lpstr>KEF</vt:lpstr>
      <vt:lpstr>SFMF</vt:lpstr>
      <vt:lpstr>NICFC</vt:lpstr>
      <vt:lpstr>H8020</vt:lpstr>
      <vt:lpstr>AHPC!Print_Area</vt:lpstr>
      <vt:lpstr>CBLD88!Print_Area</vt:lpstr>
      <vt:lpstr>CCBD88!Print_Area</vt:lpstr>
      <vt:lpstr>DDBL!Print_Area</vt:lpstr>
      <vt:lpstr>FMDBL!Print_Area</vt:lpstr>
      <vt:lpstr>GBILD86_87!Print_Area</vt:lpstr>
      <vt:lpstr>GWFD83!Print_Area</vt:lpstr>
      <vt:lpstr>'H8020'!Print_Area</vt:lpstr>
      <vt:lpstr>HIDCL!Print_Area</vt:lpstr>
      <vt:lpstr>HLI!Print_Area</vt:lpstr>
      <vt:lpstr>HRL!Print_Area</vt:lpstr>
      <vt:lpstr>ICFC!Print_Area</vt:lpstr>
      <vt:lpstr>KEF!Print_Area</vt:lpstr>
      <vt:lpstr>LBBL!Print_Area</vt:lpstr>
      <vt:lpstr>MFIL!Print_Area</vt:lpstr>
      <vt:lpstr>'Monthly Summary'!Print_Area</vt:lpstr>
      <vt:lpstr>MSLB!Print_Area</vt:lpstr>
      <vt:lpstr>NIBD84!Print_Area</vt:lpstr>
      <vt:lpstr>NICFC!Print_Area</vt:lpstr>
      <vt:lpstr>NICL!Print_Area</vt:lpstr>
      <vt:lpstr>NLG!Print_Area</vt:lpstr>
      <vt:lpstr>NMBD87_88!Print_Area</vt:lpstr>
      <vt:lpstr>NMLBBL!Print_Area</vt:lpstr>
      <vt:lpstr>'PBD88'!Print_Area</vt:lpstr>
      <vt:lpstr>SBI!Print_Area</vt:lpstr>
      <vt:lpstr>SBLD84!Print_Area</vt:lpstr>
      <vt:lpstr>SCB!Print_Area</vt:lpstr>
      <vt:lpstr>SFMF!Print_Area</vt:lpstr>
      <vt:lpstr>SGIC!Print_Area</vt:lpstr>
      <vt:lpstr>SHL!Print_Area</vt:lpstr>
      <vt:lpstr>SHPC!Print_Area</vt:lpstr>
      <vt:lpstr>SMHL!Print_Area</vt:lpstr>
      <vt:lpstr>SMJC!Print_Area</vt:lpstr>
      <vt:lpstr>TVCL!Print_Area</vt:lpstr>
      <vt:lpstr>UAIL!Print_Area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2025-08-28T10:20:35Z</cp:lastPrinted>
  <dcterms:created xsi:type="dcterms:W3CDTF">2015-06-05T18:17:20Z</dcterms:created>
  <dcterms:modified xsi:type="dcterms:W3CDTF">2025-09-25T05:05:40Z</dcterms:modified>
</cp:coreProperties>
</file>